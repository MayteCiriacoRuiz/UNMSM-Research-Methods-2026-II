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arch log" sheetId="2" state="visible" r:id="rId4"/>
    <sheet name="Criteria v1.0" sheetId="3" state="visible" r:id="rId5"/>
    <sheet name="Screening (human)" sheetId="4" state="visible" r:id="rId6"/>
    <sheet name="AI screening" sheetId="5" state="visible" r:id="rId7"/>
    <sheet name="Validation" sheetId="6" state="visible" r:id="rId8"/>
    <sheet name="PRISMA numbers" sheetId="7" state="visible" r:id="rId9"/>
    <sheet name="Reading order" sheetId="8" state="visible" r:id="rId10"/>
    <sheet name="Evidence verification" sheetId="9" state="visible" r:id="rId11"/>
    <sheet name="Full-text notes" sheetId="10" state="visible" r:id="rId12"/>
    <sheet name="Gap candidates" sheetId="11" state="visible" r:id="rId1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<sst xmlns="http://schemas.openxmlformats.org/spreadsheetml/2006/main" count="926" uniqueCount="512">
  <si>
    <t xml:space="preserve">Mini systematic review - screening log (Session 4 deliverable)</t>
  </si>
  <si>
    <t xml:space="preserve">Author: Mayte Ciriaco Ruiz | Course: Research Methods &amp; Scientific Integrity in AI (UNMSM) | Search date: 24 October 2026</t>
  </si>
  <si>
    <t xml:space="preserve">HOW TO USE (yellow cells are yours to fill; everything else is formula or fixed)</t>
  </si>
  <si>
    <t xml:space="preserve">1. Screening was done by the AI (columns I/J of 'Screening (human)' are AI-proposed). You only validate the 6 records marked Y in column T: read the abstract and write Agree or Disagree in column U (if Disagree, change I/J yourself).</t>
  </si>
  <si>
    <t xml:space="preserve">   Example: U5 = Agree.</t>
  </si>
  <si>
    <t xml:space="preserve">2. Sheet 'Validation' counts your checks and the 10% rule. 'AI screening' keeps the rationale for every record.</t>
  </si>
  <si>
    <t xml:space="preserve">3. Full text: for records you carried forward, fill K (Eligible / Exclude / Not retrieved) and L (reason code), plus M (Tier 1/2), N, O (Y/N) for the tie-break.</t>
  </si>
  <si>
    <t xml:space="preserve">4. Column P/Q rank the eligible papers by the dated tie-break rule (tier, then Spanish/LatAm/low-resource context, then traceability/governance, then year). Mark the top 10 as Yes in R; the rest as No (they become E9 automatically).</t>
  </si>
  <si>
    <t xml:space="preserve">5. Sheet 'PRISMA numbers' fills itself. Type those numbers into the official PRISMA 2020 app. The 'Checks' block must say OK everywhere.</t>
  </si>
  <si>
    <t xml:space="preserve">AI USE DECLARATION</t>
  </si>
  <si>
    <t xml:space="preserve">An AI assistant (Claude, Anthropic; claude.ai; 24 Oct 2026) was the primary screener: it applied the dated criteria v1.0 to the title, abstract and author keywords of all 44 records and proposed a decision and reason code for each (sheet 'AI screening'). The human reviewer validated a random sample (5 records, seed 20261024) plus one low-confidence record, i.e. more than 10% of records, and resolved disagreements. Full-text eligibility and the final selection of 10 were done by the human reviewer. Agreement on the sample is reported in sheet 'Validation'.</t>
  </si>
  <si>
    <t xml:space="preserve">The prompt/instructions given to the AI were: the criteria in sheet 'Criteria v1.0' (I1-I6, tiers, tie-break, reason codes E1-E9), applied to the title, abstract and author keywords exported from Scopus.</t>
  </si>
  <si>
    <t xml:space="preserve">TRANSPARENCY NOTES</t>
  </si>
  <si>
    <t xml:space="preserve">- The reviewer saw the list of titles on the Scopus results screen before the criteria were saved, but made no include/exclude decision at that moment.</t>
  </si>
  <si>
    <t xml:space="preserve">- Reason-code precedence when several criteria fail: E1, E2, E3, E4, E5, E6 (first failing criterion in that order).</t>
  </si>
  <si>
    <t xml:space="preserve">- E6 is applied as: input is not unstructured text documents or claims (images, sensors, tabular data only). Scientific, news, corporate and administrative text all count as text (Tier 2 unless public/government/administrative/legal/civic = Tier 1).</t>
  </si>
  <si>
    <t xml:space="preserve">- Records with an abstract that does not settle a criterion are marked 'Maybe' and carried to full text.</t>
  </si>
  <si>
    <t xml:space="preserve">PRIORITISED FULL-TEXT READING (declared deviation, 24 Oct 2026)</t>
  </si>
  <si>
    <t xml:space="preserve">Because of the delivery deadline, full texts were assessed in the fixed order shown in sheet 'Reading order' instead of assessing all records carried forward. Records eligible by abstract but not reached are reported as E9 (not assessed) at the screening stage in PRISMA. This limits the selection of the final 10 to the highest-priority records and is reported as a limitation.</t>
  </si>
  <si>
    <t xml:space="preserve">Iteration</t>
  </si>
  <si>
    <t xml:space="preserve">Database</t>
  </si>
  <si>
    <t xml:space="preserve">Date searched</t>
  </si>
  <si>
    <t xml:space="preserve">Blocks</t>
  </si>
  <si>
    <t xml:space="preserve">Filters</t>
  </si>
  <si>
    <t xml:space="preserve">n (records)</t>
  </si>
  <si>
    <t xml:space="preserve">Full search string</t>
  </si>
  <si>
    <t xml:space="preserve">Scopus</t>
  </si>
  <si>
    <t xml:space="preserve">2026-10-24</t>
  </si>
  <si>
    <t xml:space="preserve">Multi-agent + extraction/verification + public documents + Spanish/Peru/LatAm</t>
  </si>
  <si>
    <t xml:space="preserve">2020-2026; article</t>
  </si>
  <si>
    <t xml:space="preserve">TITLE-ABS-KEY(("multi-agent" OR "multi-agent system*" OR "LLM agent*") AND ("information extraction" OR "document verification" OR "fact-checking" OR "fact verification" OR "claim verification") AND ("public document*" OR "government document*" OR "administrative document*" OR "legal document*" OR "civic") AND (Spanish OR "low-resource language*" OR Peru OR "Latin America")) AND PUBYEAR &gt; 2019 AND PUBYEAR &lt; 2027 AND DOCTYPE(ar)</t>
  </si>
  <si>
    <t xml:space="preserve">Multi-agent + extraction/verification</t>
  </si>
  <si>
    <t xml:space="preserve">TITLE-ABS-KEY(("multi-agent" OR "multi-agent system*" OR "LLM agent*") AND ("information extraction" OR "document verification" OR "fact-checking" OR "fact verification" OR "claim verification")) AND PUBYEAR &gt; 2019 AND PUBYEAR &lt; 2027 AND DOCTYPE(ar)</t>
  </si>
  <si>
    <t xml:space="preserve">Multi-agent + LLM + extraction/verification (FINAL)</t>
  </si>
  <si>
    <t xml:space="preserve">2020-2026; article; journal sources</t>
  </si>
  <si>
    <t xml:space="preserve">TITLE-ABS-KEY(("multi-agent" OR "multi-agent system*" OR "LLM agent*") AND ("large language model*" OR LLM OR LLMs) AND ("information extraction" OR "document verification" OR "fact-checking" OR "fact verification" OR "claim verification")) AND PUBYEAR &gt; 2019 AND PUBYEAR &lt; 2027 AND DOCTYPE(ar) AND SRCTYPE(j)</t>
  </si>
  <si>
    <t xml:space="preserve">Note: Spanish, Peru/LatAm and document type were NOT used as search filters; they are applied as criteria/tie-break during screening (iteration 1 returned 0). n values were read from the Scopus results screen on the search date.</t>
  </si>
  <si>
    <t xml:space="preserve">Inclusion criteria (all must be met)</t>
  </si>
  <si>
    <t xml:space="preserve">I1</t>
  </si>
  <si>
    <t xml:space="preserve">Peer-reviewed journal article (Scopus DOCTYPE ar, SRCTYPE j), published 2020-2026, with a DOI.</t>
  </si>
  <si>
    <t xml:space="preserve">I2</t>
  </si>
  <si>
    <t xml:space="preserve">Full text in English or Spanish and accessible to the reviewer.</t>
  </si>
  <si>
    <t xml:space="preserve">I3</t>
  </si>
  <si>
    <t xml:space="preserve">Uses large language models as a core component.</t>
  </si>
  <si>
    <t xml:space="preserve">I4</t>
  </si>
  <si>
    <t xml:space="preserve">Uses a multi-agent architecture (two or more interacting agents with distinct roles), not a single-model pipeline.</t>
  </si>
  <si>
    <t xml:space="preserve">I5</t>
  </si>
  <si>
    <t xml:space="preserve">Addresses at least one of: information extraction, classification, or verification (fact, claim or document verification).</t>
  </si>
  <si>
    <t xml:space="preserve">I6</t>
  </si>
  <si>
    <t xml:space="preserve">Operates on unstructured text documents or claims (not images, sensors, or tabular data only).</t>
  </si>
  <si>
    <t xml:space="preserve">Priority tiers (applied after I1-I6)</t>
  </si>
  <si>
    <t xml:space="preserve">Tier 1</t>
  </si>
  <si>
    <t xml:space="preserve">Applied to public, government, administrative, legal or civic documents.</t>
  </si>
  <si>
    <t xml:space="preserve">Tier 2</t>
  </si>
  <si>
    <t xml:space="preserve">Applied to other unstructured text (e.g., news, scientific text) in any language.</t>
  </si>
  <si>
    <t xml:space="preserve">Tie-break (in order)</t>
  </si>
  <si>
    <t xml:space="preserve">(1) tier; (2) Spanish, Latin American or low-resource-language context; (3) explicit treatment of traceability, provenance or ethical governance; (4) most recent year.</t>
  </si>
  <si>
    <t xml:space="preserve">Exclusion reason codes (one per record)</t>
  </si>
  <si>
    <t xml:space="preserve">E1</t>
  </si>
  <si>
    <t xml:space="preserve">Not a journal article or no DOI</t>
  </si>
  <si>
    <t xml:space="preserve">E2</t>
  </si>
  <si>
    <t xml:space="preserve">Language not English/Spanish</t>
  </si>
  <si>
    <t xml:space="preserve">E3</t>
  </si>
  <si>
    <t xml:space="preserve">Not LLM-based</t>
  </si>
  <si>
    <t xml:space="preserve">E4</t>
  </si>
  <si>
    <t xml:space="preserve">Not multi-agent</t>
  </si>
  <si>
    <t xml:space="preserve">E5</t>
  </si>
  <si>
    <t xml:space="preserve">No extraction, classification or verification task</t>
  </si>
  <si>
    <t xml:space="preserve">E6</t>
  </si>
  <si>
    <t xml:space="preserve">Out of domain (non-text data or unrelated application)</t>
  </si>
  <si>
    <t xml:space="preserve">E7</t>
  </si>
  <si>
    <t xml:space="preserve">Full text not retrievable</t>
  </si>
  <si>
    <t xml:space="preserve">E8</t>
  </si>
  <si>
    <t xml:space="preserve">Duplicate record</t>
  </si>
  <si>
    <t xml:space="preserve">E9</t>
  </si>
  <si>
    <t xml:space="preserve">Eligible but not selected (below the 10-article cut by tie-break rule)</t>
  </si>
  <si>
    <t xml:space="preserve">Version</t>
  </si>
  <si>
    <t xml:space="preserve">v1.0, dated 24 October 2026, written before screening decisions.</t>
  </si>
  <si>
    <t xml:space="preserve">ID</t>
  </si>
  <si>
    <t xml:space="preserve">First author</t>
  </si>
  <si>
    <t xml:space="preserve">Year</t>
  </si>
  <si>
    <t xml:space="preserve">Title</t>
  </si>
  <si>
    <t xml:space="preserve">Source</t>
  </si>
  <si>
    <t xml:space="preserve">DOI</t>
  </si>
  <si>
    <t xml:space="preserve">Language</t>
  </si>
  <si>
    <t xml:space="preserve">Abstract (Scopus)</t>
  </si>
  <si>
    <t xml:space="preserve">Title/abstract decision (AI-proposed; human validation in col T/U)</t>
  </si>
  <si>
    <t xml:space="preserve">Reason code (if Exclude)</t>
  </si>
  <si>
    <t xml:space="preserve">Full-text decision (Eligible / Exclude / Not retrieved)</t>
  </si>
  <si>
    <t xml:space="preserve">Full-text reason code</t>
  </si>
  <si>
    <t xml:space="preserve">Tier (1 or 2)</t>
  </si>
  <si>
    <t xml:space="preserve">Spanish/LatAm/low-resource context (Y/N)</t>
  </si>
  <si>
    <t xml:space="preserve">Traceability/governance explicit (Y/N)</t>
  </si>
  <si>
    <t xml:space="preserve">Priority score (auto)</t>
  </si>
  <si>
    <t xml:space="preserve">Rank (auto)</t>
  </si>
  <si>
    <t xml:space="preserve">Selected in top 10 (Yes / No)</t>
  </si>
  <si>
    <t xml:space="preserve">Final status (auto)</t>
  </si>
  <si>
    <t xml:space="preserve">In validation sample (Y)</t>
  </si>
  <si>
    <t xml:space="preserve">Human check: Agree / Disagree</t>
  </si>
  <si>
    <t xml:space="preserve">Not assessed at full text: eligible by abstract, below prioritised-reading cut (Y = E9)</t>
  </si>
  <si>
    <t xml:space="preserve">Zhou X.</t>
  </si>
  <si>
    <t xml:space="preserve">Research on solid-state battery information mining based on large language models and chain-of-thought reasoning</t>
  </si>
  <si>
    <t xml:space="preserve">Journal of Energy Storage</t>
  </si>
  <si>
    <t xml:space="preserve">10.1016/j.est.2026.125065</t>
  </si>
  <si>
    <t xml:space="preserve">English</t>
  </si>
  <si>
    <t xml:space="preserve">Solid-state batteries (SSBs) represent a next-generation energy storage technology. However, the wide diversity of solid-state electrolyte (SSE) chemistries, coupled with the complexity of their synthesis and processing routes, makes systematic investigation, knowledge reuse, and database construction particularly challenging. In this work, we propose SSBExtractor, a novel information extraction framework designed to mine synthesis protocols and performance metrics from scientific literature using large language models (LLMs) enhanced with chain-of-thought (CoT) reasoning. Unlike conventional rule-based or direct prompting methods, SSBExtractor decomposes the extraction task into four structured stages, localization, extraction, matching, and formatting, with each stage utilizing a corresponding dedicated prompt. We further introduce a multi-agent interactive prompt refinement approach to improve extraction accuracy through iterative feedback from labeled data and domain experts. Applied to a dataset of 800 SSB-related papers, SSBExtractor successfully established the largest SSE synthesis-process database to date, covering 851 electrolyte materials and 15,337 process parameters. Relying on CoT-based framework rather than resource-intensive fine-tuning, the proposed framework achieved over 98.5% precision and recall, significantly outperforming standard prompting methods. Notably, the CoT-based framework proved particularly effective in handling complex cases involving multiple materials and synthesis routes within a single article, where traditional methods often failed. This work demonstrates the potential of CoT reasoning in LLMs for accurate, scalable scientific information extraction and offers a foundational methodology with prospective applicability for knowledge mining across broader materials science domains. © 2026 Elsevier Ltd. All rights are reserved, including those for text and data mining, AI training, and similar technologies.</t>
  </si>
  <si>
    <t xml:space="preserve">Maybe</t>
  </si>
  <si>
    <t xml:space="preserve">Gorshenin A.K.</t>
  </si>
  <si>
    <t xml:space="preserve">A Multiagent Multimodal Neural Architecture with Probabilistic Evidence Aggregation for Detecting Fake Messages</t>
  </si>
  <si>
    <t xml:space="preserve">Pattern Recognition and Image Analysis</t>
  </si>
  <si>
    <t xml:space="preserve">10.1134/S1054661825700543</t>
  </si>
  <si>
    <t xml:space="preserve">Abstract: This paper presents a new multiagent architecture with probabilistic data aggregation for detecting fake messages in text, images, and audio sources. The development of such approaches is increasingly in demand for a variety of information systems due to the growing volume of heterogeneous content, the limitations of single models in credibility assessment, and the lack of sufficiently large labeled datasets in real-world conditions that would allow the effective detection of unreliable content, which leads to the need to use probabilistic approaches. The fundamental novelty of the solution presented in this work lies in the probabilistic aggregation of agent inferences with confidence calibration and interpretable justifications. The architecture includes an intelligent router, modality-specific agents, and a context-weighted aggregation module. To evaluate the quality of the proposed architecture and compare it with various large language models, a custom graph dataset of real and synthetic messages with various combinations of modalities was created. In the experimental series, the aggregator outperformed single text (Mistral-7B-Instruct-v0.3, Phi-4, etc.) and vision language models (for example, LLaVa‑v1.5‑7B and Qwen2‑vl‑2B‑Instruct, etc.): the values of the accuracy metrics (Accuracy) and F1-score of the proposed architecture are 10–17% higher; the Weighted F1‑score values improved by 16%; the values of the Brier score and log loss metrics, reflecting the calibration of probabilistic predictions and the severity of penalty for overconfident errors, were reduced by 13–30%. The system operates in zero-shot mode based on open pretrained models, including YandexGPT‑5‑Lite‑8B‑Instruct, Qwen3‑8B and those vision language models mentioned above, and supports fast domain adaptation using system prompts and standardized output formats. The results demonstrate the effectiveness of the multiagent approach for reliable assessment of the credibility of multimodal messages and its applicability to intelligent content quality control tools in modern general-purpose information systems, including social networks. © Pleiades Publishing, Ltd. 2025.</t>
  </si>
  <si>
    <t xml:space="preserve">Include</t>
  </si>
  <si>
    <t xml:space="preserve">Alghamdi H.M.</t>
  </si>
  <si>
    <t xml:space="preserve">Towards Reliable Healthcare LLM Agents: A Case Study for Pilgrims during Hajj</t>
  </si>
  <si>
    <t xml:space="preserve">Information (Switzerland)</t>
  </si>
  <si>
    <t xml:space="preserve">10.3390/info15070371</t>
  </si>
  <si>
    <t xml:space="preserve">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 © 2024 by the authors.</t>
  </si>
  <si>
    <t xml:space="preserve">Pu J.</t>
  </si>
  <si>
    <t xml:space="preserve">MA-APKG: A multi-agent LLM-based method for construction aviation product assembly process knowledge graph</t>
  </si>
  <si>
    <t xml:space="preserve">Journal of Manufacturing Systems</t>
  </si>
  <si>
    <t xml:space="preserve">10.1016/j.jmsy.2026.04.031</t>
  </si>
  <si>
    <t xml:space="preserve">To address the characteristics of complex aviation assembly process knowledge, including diverse knowledge types, complex hierarchical structures, strong semantic correlations, and continuous evolution, a top-down construction method for an assembly process knowledge graph (KG) is proposed. First, a multi-level assembly process ontology is developed to provide unified and standardized modeling of product information, assembly process knowledge, tools and equipment, historical cases, and their cross-level relationships, enabling structured knowledge representation and semantic consistency enforcement. Second, to cope with the semantic complexity of assembly process texts, a large language model (LLM)-based multi-agent collaborative triple information extraction method is proposed. By integrating ontology constraints and a self-consistency chain-of-thought (CoT) mechanism, the stability, accuracy, and interpretability of extraction results are significantly improved. Finally, a semantic embedding-based dynamic KG update strategy is adopted to maintain entity uniqueness and semantic consistency during continuous knowledge evolution. Experimental results demonstrate the effectiveness and applicability of the proposed method in complex aviation assembly process scenarios. © 2026 The Society of Manufacturing Engineers</t>
  </si>
  <si>
    <t xml:space="preserve">Lian X.</t>
  </si>
  <si>
    <t xml:space="preserve">An LLM-based Fact-Checking Approach for Multilingual Fake News Detection in Short-Form Video News</t>
  </si>
  <si>
    <t xml:space="preserve">Information Systems Frontiers</t>
  </si>
  <si>
    <t xml:space="preserve">10.1007/s10796-026-10755-x</t>
  </si>
  <si>
    <t xml:space="preserve">Fake news increasingly spans multiple languages and modalities, especially on short-form video platforms, making detection more complex. This paper introduces the first study addressing multilingual fake news detection for content that incorporates multiple languages within a single news item. This study utilizes the Design Science Research (DSR) paradigm and presents an automated large language model (LLM)-based fact-checking approach for multilingual fake news detection that requires no extensive task-specific training data. Our method includes: (1) LLM-based cross-modal consistency filtering to identify discrepancies across modalities; and (2) LLM-based fact verification implemented through a multi-agent system. We evaluated our approach using an existing multilingual text fake news dataset and a novel multilingual short-form video fake news dataset (MSVFD). Experimental results show our approach outperforms leading supervised and LLM-based prompting methods. This research addresses a critical gap in multilingual fake news literature and contributes to DSR on LLM-based artifacts, highlighting their potential for timely misinformation detection across diverse formats and languages. © The Author(s), under exclusive licence to Springer Science+Business Media, LLC, part of Springer Nature 2026.</t>
  </si>
  <si>
    <t xml:space="preserve">Y</t>
  </si>
  <si>
    <t xml:space="preserve">Menotti L.</t>
  </si>
  <si>
    <t xml:space="preserve">Provenance-driven nanopublications: representing source lineage and trust networks for multi-source assertions</t>
  </si>
  <si>
    <t xml:space="preserve">International Journal on Digital Libraries</t>
  </si>
  <si>
    <t xml:space="preserve">10.1007/s00799-025-00431-x</t>
  </si>
  <si>
    <t xml:space="preserve">Nanopublishing is a paradigm enabling the representation of scientific claims in a distinctive, identifiable, citable, and reusable format, i.e., as a named graph. This approach can be applied to sentences extracted from scientific publications or triples within a Knowledge Base (KB). This way, one can track the provenance of assertions derived from a specific publication or database. However, nanopublications do not natively support multi-source scientific claims generated by aggregating different bodies of knowledge. This work extends the nanopublication model with knowledge provenance, capturing provenance information for assertions derived by an aggregation algorithm or a truth discovery process, e.g., an information extraction system aggregating several sources of knowledge to populate a Knowledge Base (KB). In these cases, provenance information cannot be attributed to a single source, but it is the result of an ensemble of evidence, that can comprehend supporting and conflicting pieces of evidence and truth values. Knowledge provenance is represented as a named graph following the PROV-K ontology, developed for the case. To show how knowledge provenance applies to a real-world scenario, we serialized gene expression-cancer associations generated by the Collaborative Oriented Relation Extraction (CORE) System. To demonstrate the value of trust relationships, we present a use case leveraging an existing scientific KB to construct a trust network employing three Large Language Model (LLM) agents. We analyzed the ability of LLMs to evaluate trustworthiness, exploiting techniques from KB accuracy estimation. We published 197, 511 assertions generated by the CORE system in the form of extended nanopublications with knowledge provenance. PROV-K also defines trust relationships between agents or between an agent and a proposition. Starting from these assertions, we leveraged external agents – namely, multiple LLMs – to assess their trusted truth value. Based on these values, we defined trust relationships between the agents and the facts, yielding an exemplar trust network comprising over 45,000 facts and four agents. The knowledge provenance graph allows the tracking of provenance for each piece of evidence contributing to the support or refutation of an assertion. To capture the semantics of the newly presented graph, we define the PROV-K ontology, designed to represent provenance information for multi-source assertions. The two use cases serve as a template to show how to serialize extended nanopublications and showcase the trust relationships’ capabilities. © The Author(s) 2025.</t>
  </si>
  <si>
    <t xml:space="preserve">Exclude</t>
  </si>
  <si>
    <t xml:space="preserve">Gebreab S.</t>
  </si>
  <si>
    <t xml:space="preserve">An LLM-based multi-agent system for patient discharge assessment</t>
  </si>
  <si>
    <t xml:space="preserve">Computer Methods and Programs in Biomedicine Update</t>
  </si>
  <si>
    <t xml:space="preserve">10.1016/j.cmpbup.2026.100261</t>
  </si>
  <si>
    <t xml:space="preserve">Hospital discharge planning plays a central role in patient flow, quality of care, and hospital efficiency. However, discharge assessment is often fragmented across teams and performed under tight time constraints. Existing machine-learning models trained on electronic health record (EHR) data have been applied to forecast near-term discharge events, but they primarily estimate timing or probability and provide limited structured clinical interpretability. To address these limitations, we propose an LLM-based multi-agent clinical decision support system for discharge readiness assessment. The architecture decomposes discharge reasoning into five clinically distinct specialist agents, each producing structured, evidence-linked claims grounded in specific EHR fields. A deterministic, schema-based claim verification layer cross-checks the asserted field values against the patient record prior to arbitration, and a reliability-aware arbiter synthesizes verified assessments into a final readiness determination. This design replaces a single scalar score with multidimensional, auditable reasoning while explicitly separating generative reasoning from value-level data checking. Evaluated on a retrospective MIMIC-IV cohort across four LLM backbones, binary prediction of proxy safe early discharge under the SAFE_D24 definition ranged from 0.490 to 0.620 F1, with PPV from 0.521 to 0.628. GPT-4.1 achieved the strongest performance (0.620 F1, 75.8% specificity, 61.3% sensitivity). Ablation analysis demonstrates measurable performance gains from deterministic verification. Beyond discrimination metrics, the system produces traceable barrier identification, claim-level verification statistics, and configurable human-review triggers, supporting traceable and auditable discharge assessment with explicit safety and operational trade-offs. © 2026 The Author(s)</t>
  </si>
  <si>
    <t xml:space="preserve">Rahman S.S.</t>
  </si>
  <si>
    <t xml:space="preserve">Hallucination to truth: a review of fact-checking and factuality evaluation in large language models</t>
  </si>
  <si>
    <t xml:space="preserve">Artificial Intelligence Review</t>
  </si>
  <si>
    <t xml:space="preserve">10.1007/s10462-025-11454-w</t>
  </si>
  <si>
    <t xml:space="preserve">Large language models (LLMs) are trained on vast and diverse internet corpora that often include inaccurate or misleading content. Consequently, LLMs can generate misinformation, making robust fact-checking essential. This review systematically analyzes how LLM-generated content is evaluated for factual accuracy by exploring key challenges such as hallucinations, dataset limitations, and the reliability of evaluation metrics. The review emphasizes the need for strong fact-checking frameworks that integrate advanced prompting strategies, domain-specific fine-tuning, and retrieval-augmented generation (RAG) methods. It proposes five research questions that guide the analysis of the recent literature from 2020 to 2025, focusing on evaluation methods and mitigation techniques. Instruction tuning, multi-agent reasoning, and RAG frameworks for external knowledge access are also reviewed. The key findings demonstrate the limitations of current metrics, the importance of validated external evidence, and the improvement of factual consistency through domain-specific customization. The review underscores the importance of building more accurate, understandable, and context-aware fact-checking. These insights contribute to the advancement of research toward more trustworthy models. © The Author(s) 2026.</t>
  </si>
  <si>
    <t xml:space="preserve">Zhang S.</t>
  </si>
  <si>
    <t xml:space="preserve">FARM: A Multi-Agent Framework for Automated Construction of Multi-Species Livestock Health Knowledge Graphs</t>
  </si>
  <si>
    <t xml:space="preserve">Agriculture (Switzerland)</t>
  </si>
  <si>
    <t xml:space="preserve">10.3390/agriculture16030356</t>
  </si>
  <si>
    <t xml:space="preserve">Livestock health knowledge graphs are essential for decision-making and reasoning in animal husbandry, yet existing knowledge is scattered across unstructured literature and encoded in narrowly scoped, species-specific models, resulting in semantic fragmentation and limited reusability. To address these issues, we proposed FARM (Four-dimensional Automated-Reasoning Multi-agent), a zero-shot multi-agent framework used for constructing multi-species livestock health knowledge graphs. FARM is grounded in a Four-Dimension Livestock Health Framework encompassing Rearing Environment, Physiological Status, Feed &amp; Water Inputs, and Production Performance, and employs a unified ontology strategy that integrates cross-species general labels with species-specific constraints to achieve semantic alignment. The framework orchestrates five specialized agents—Coordination, Entity Extraction, Ontology Normalization, Relation Extraction, and Knowledge Fusion—to automate the construction process. Experiments on 2478 expertly annotated text samples demonstrate that FARM achieves an entity-level F1 score of 0.8070 (IoU ≥ 0.5), surpassing the strongest baseline by 0.1627. Moreover, it attains a corrected entity label accuracy of 90.44% and an F1 score of 0.9277 in relation existence identification, outperforming the baseline by 0.1114. Validation on 500 image samples further confirms its capability in multimodal evidence fusion. The resulting knowledge graph contains 29,064 entities and 26,662 triples, providing a reusable foundation for zero-shot extraction and unified cross-species semantic modeling. © 2026 by the authors.</t>
  </si>
  <si>
    <t xml:space="preserve">Cheng K.</t>
  </si>
  <si>
    <t xml:space="preserve">Insider Threat Detection and Evidence-Grounded Triage Using a Heterogeneous Dual-Branch Network and a Constrained LLM Agent</t>
  </si>
  <si>
    <t xml:space="preserve">Applied Sciences (Switzerland)</t>
  </si>
  <si>
    <t xml:space="preserve">10.3390/app16147054</t>
  </si>
  <si>
    <t xml:space="preserve">Insider threats are difficult to detect and investigate because risky behavior can occur through valid accounts, develop slowly, and leave mixed behavioral traces. We study an analyst support architecture that links anomaly detection with evidence-based triage. Rather than treating insider threat analysis as a single classification task, the architecture organizes it as a workflow that combines behavior modeling, evidence retrieval, rule interpretation, and constrained reasoning. For anomaly detection, we build a multi-view representation over subject time windows and design a heterogeneous dual-branch network (HDBN) that fuses semantic and statistical branches through confidence-gated fusion. The detector captures temporal event patterns and statistical deviations while retaining structured alert clues for downstream investigation. For investigation, we construct a dual-track evidence infrastructure for LLM-assisted reasoning: a star schema data mart supports structured fact verification and a rule tree index supports policy and rule interpretation. An intent-aware hybrid retrieval mechanism routes sub-questions to the relevant evidence source and aligns structured facts with unstructured rules. We also design a constrained reasoning agent based on a controlled reasoning and acting workflow. Action-space constraints, evidence-completeness gating, and state recovery are used to limit reasoning drift and unsupported decisions when enterprise evidence is incomplete. On the CERT r4.2 dataset, the HDBN reaches 96.8% recall at the selected operating point. In the constructed investigation tasks, the constrained ReAct agent reaches 91.8% end-to-end triage accuracy compared to an unconstrained LLM agent baseline under the same tool access setting. The results support the feasibility of traceable detection-to-investigation workflows in the evaluated benchmark setting, while deployment on real enterprise data and adversarial scenarios remains to be validated. © 2026 by the authors.</t>
  </si>
  <si>
    <t xml:space="preserve">Zhang W.</t>
  </si>
  <si>
    <r>
      <rPr>
        <sz val="10"/>
        <rFont val="Arial"/>
        <family val="0"/>
        <charset val="1"/>
      </rPr>
      <t xml:space="preserve">An automatic modeling method for rough discrete fracture networks based on LLM Agent; [</t>
    </r>
    <r>
      <rPr>
        <sz val="10"/>
        <rFont val="Noto Sans CJK SC"/>
        <family val="2"/>
      </rPr>
      <t xml:space="preserve">基于</t>
    </r>
    <r>
      <rPr>
        <sz val="10"/>
        <rFont val="Arial"/>
        <family val="0"/>
        <charset val="1"/>
      </rPr>
      <t xml:space="preserve">LLM Agent</t>
    </r>
    <r>
      <rPr>
        <sz val="10"/>
        <rFont val="Noto Sans CJK SC"/>
        <family val="2"/>
      </rPr>
      <t xml:space="preserve">的粗糙离散裂隙网络自动建模方法</t>
    </r>
    <r>
      <rPr>
        <sz val="10"/>
        <rFont val="Arial"/>
        <family val="0"/>
        <charset val="1"/>
      </rPr>
      <t xml:space="preserve">]</t>
    </r>
  </si>
  <si>
    <t xml:space="preserve">Scientia Sinica Technologica</t>
  </si>
  <si>
    <t xml:space="preserve">10.1360/SST-2025-0414</t>
  </si>
  <si>
    <t xml:space="preserve">Chinese</t>
  </si>
  <si>
    <t xml:space="preserve">Traditional rough discrete fracture network (RDFN) modeling relies on manual intervention, which is time-consuming and difficult to modify. To address this challenge, this study proposes an automatic RDFN modeling method based on a large language model agent (LLM Agent). The automatic parsing of modeling data by the LLM Agent and the potential issues of error propagation and objective drift during its reasoning process are the two major problems. Therefore, an automated fracture borehole wall profile extraction model is developed by improving YOLOv10 with an efficient multi-scale attention module, which is combined with fractal analysis to quantify fracture roughness. Additionally, an automatic fracture information extraction approach for CAD sketch, combined with Canny edge detection and GLM-4.1V-Thinking visual language model, is established for parameter extraction, including fracture length, fracture orientation, dip direction, and dip angle. With the above methods, the subjectivity and inefficiency of manual multi-source data extraction can be overcome. Furthermore, an LLM Agent’s autonomous reasoning method, based on prompt engineering and chain-of-thought reasoning, is proposed under the Reason+Act (ReAct) framework. This approach enables autonomous planning, reasoning, and error correction under the “action-feedback” closed-loop framework. Additionally, an automatic modeling system for rough discrete fracture networks has been developed, which enables full-process automation of modeling and modification, encompassing data analysis, parameter calculation, model construction, and verification. The proposed method is applied to a large-scale hydropower project in Southwest China. Based on acquired borehole images and CAD sketches of fracture outcrop observations, the LLM Agent automatically constructs an RDFN model for a 20 m×20 m×20 m volume, with an average time consumption of 8 min and 40 s, which significantly enhances the efficiency of fracture modeling. This study establishes a new paradigm for RDFN modeling. © 2026 Science Press. All rights reserved.</t>
  </si>
  <si>
    <t xml:space="preserve">Zhou L.</t>
  </si>
  <si>
    <t xml:space="preserve">Semantic Information Extraction and Multi-Agent Communication Optimization Based on Generative Pre-Trained Transformer</t>
  </si>
  <si>
    <t xml:space="preserve">IEEE Transactions on Cognitive Communications and Networking</t>
  </si>
  <si>
    <t xml:space="preserve">10.1109/TCCN.2024.3482354</t>
  </si>
  <si>
    <t xml:space="preserve">The collaboration among multiple agents demands for efficient communication. However, the observational data in the multi-agent systems are typically voluminous and redundant and pose substantial challenges to the communication system when transmitted directly. To address this issue, this paper introduces a multi-agent communication scheme based on large language model (LLM), referred to as GPT-based semantic information extraction for multi-agent communication (GMAC). This scheme utilizes an LLM to extract semantic information and leverages the generative capabilities to predict subsequent actions, thereby enabling agents to make more informed decisions. The GMAC approach significantly reduces signaling expenditure exchanged among agents by extracting key semantic data via LLM. This method not only simplifies the communication process but also effectively reduces the communication overhead by approximately 53% compared to the baseline methods. Experimental results indicate that GMAC not only improves the convergence speed and accuracy of decision-making but also substantially decreases the signaling expenditure among agents. Consequently, GMAC offers a straightforward and effective method to achieve efficient and economical communication in the multi-agent systems. © 2015 IEEE.</t>
  </si>
  <si>
    <t xml:space="preserve">Xiong C.</t>
  </si>
  <si>
    <t xml:space="preserve">DelphiAgent: A trustworthy multi-agent verification framework for automated fact verification</t>
  </si>
  <si>
    <t xml:space="preserve">Information Processing and Management</t>
  </si>
  <si>
    <t xml:space="preserve">10.1016/j.ipm.2025.104241</t>
  </si>
  <si>
    <t xml:space="preserve">Large Language Models (LLMs) have been investigated for many reasoning-intensive tasks including fact verification and exhibited outstanding performance via coupling LLM's internal and external knowledge. However, non-agentic LLM-based methods produce responses based on direct prompts in an one-off manner, suffering from challenges in factuality and hallucinations. In this paper, we propose DelphiAgent, an innovative agentic framework for trustworthy fact-checking that employs multiple LLMs to emulate the workflow of the Delphi method, aiming at enhancing transparency in the decision-making procedure and mitigating hallucinations when generating justifications. This is implemented through a duel-system framework that integrates the evidence mining module and the Delphi decision-making module. The evidence mining module extracts evidence from raw uncensored reports and refines evidence, ensuring the provision of instructive rationales for the subsequent module. Meanwhile, drawing inspiration from the Delphi method, the decision-making module devises multiple LLM-based agents with distinct personalities to make factuality judgments individually based on the claim and its verified evidence, and reaches a consensus through multiple rounds of feedback and synthesis. The experimental findings from two challenging datasets indicate that DelphiAgent not only surpasses current LLM-based approaches but also is on par with state-of-the-art LLM-enhanced supervised baselines without necessitating a training regime, with macF1 improvements reaching up to 6.84% on RAWFC and comparable performance on LIAR-RAW. Furthermore, the generated justifications throughout the workflow underscore the trustworthiness of our proposed framework. The official implementation of this paper is available at https://github.com/zjfgh2015/DelphiAgent. © 2025 Elsevier Ltd</t>
  </si>
  <si>
    <t xml:space="preserve">Kalian A.D.</t>
  </si>
  <si>
    <t xml:space="preserve">From LLMs to sustainable proteins: fine-tuning and prompt engineering for multi-agent AI in waste carbon-utilising microbial protein production</t>
  </si>
  <si>
    <t xml:space="preserve">Carbon Capture Science and Technology</t>
  </si>
  <si>
    <t xml:space="preserve">10.1016/j.ccst.2025.100525</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</si>
  <si>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 © 2025 The Author(s). Published by Elsevier Ltd on behalf of Institution of Chemical Engineers (IChemE). This is an open access article under the CC BY license. http://creativecommons.org/licenses/by/4.0/</t>
  </si>
  <si>
    <t xml:space="preserve">Nguyen T.-A.</t>
  </si>
  <si>
    <t xml:space="preserve">Debating to verify: A robust and explainable multi-agent LLM system for fact-checking</t>
  </si>
  <si>
    <t xml:space="preserve">ICT Express</t>
  </si>
  <si>
    <t xml:space="preserve">10.1016/j.icte.2026.05.017</t>
  </si>
  <si>
    <t xml:space="preserve">Large language models have advanced automated fact verification, yet single-agent prompting remains prone to hallucination, while fine-tuned models suffer from limited scalability and cross-domain generalization. This paper proposes FC-MAD, a training-free multi-agent debate framework that coordinates multiple LLMs through structured critique, context summarization, and judge-guided consensus reasoning. Extensive experiments on Vietnamese (ViFactCheck), multilingual (X-Fact), and English (FEVER) benchmarks show that FC-MAD consistently outperforms strong fine-tuned and prompting-based baselines, achieving state-of-the-art performance on ViFactCheck and FEVER, while delivering robust gains across X-Fact languages. These results highlight the effectiveness of structured multi-agent reasoning for reliable AI-based fact-checking systems. © 2026 The Author(s).</t>
  </si>
  <si>
    <t xml:space="preserve">Lu J.</t>
  </si>
  <si>
    <t xml:space="preserve">Automated building energy modeling for energy retrofits using a large language model-based multi-agent framework</t>
  </si>
  <si>
    <t xml:space="preserve">iScience</t>
  </si>
  <si>
    <t xml:space="preserve">10.1016/j.isci.2025.113867</t>
  </si>
  <si>
    <t xml:space="preserve">Building energy modeling is critical for retrofit design, but it is labor-intensive. We present Data2BEM (Data to Building Energy Model), a large language model-based multi-agent framework that parses architectural drawings, specifications, and sensor data to automatically generate and calibrate building energy simulations. Applied to an existing University of Cambridge office building, Data2BEM produced a calibrated model meeting industry accuracy benchmarks and enabled the assessment of heat-electrification retrofits. Relative to professional practice, the system reduced total modeling time by over 90% (48 min versus 8–32 h) with minimal human input. The workflow integrates information extraction, model generation, and data-driven calibration, delivering end-to-end automation while accurately reflecting measured performance. These results indicate that large language model-driven multi-agent methods can accelerate retrofit analysis, lowering expertise and time barriers for practitioners and supporting scalable pathways to building-sector decarbonization. © 2025 The Authors</t>
  </si>
  <si>
    <t xml:space="preserve">Vo T.</t>
  </si>
  <si>
    <t xml:space="preserve">Unsupervised column relevance extraction for table-based fact verification via structured and explainable large language model reasoning</t>
  </si>
  <si>
    <t xml:space="preserve">Computers and Electrical Engineering</t>
  </si>
  <si>
    <t xml:space="preserve">10.1016/j.compeleceng.2026.111473</t>
  </si>
  <si>
    <t xml:space="preserve">Recent advances in large language models have driven remarkable progress in automated reasoning over structured tabular data, with applications spanning healthcare, scientific research, and public policy. Despite significant advancements, state-of-the-art methods face some challenges: they often require complex multi-agent or tool-based pipelines, fine-tuning on domain-specific data, or dependence on closed-source commercial models, which can limit accessibility, reproducibility, and transparency. To overcome these limitations, we introduce UCRET, a modular and fully interpretable framework for zero-shot table-based fact verification. UCRET combines open-source large language models with explicit, step-by-step explanations for each possible verification outcome, avoiding both task-specific fine-tuning and reliance on proprietary models. Its key novelty lies in applying spherical k -means to unsupervised, claim-driven column selection , which identifies the most relevant evidence columns before reasoning and reduces the amount of irrelevant tabular information passed to the reasoning stage. Given this reduced table, the model elicits counterfactual explanations for each veracity label and aggregates them into a final decision. This design both clarifies why a label is predicted and limits token usage by focusing the model on salient columns. Empirical results on medical, scientific, and general-domain Wikipedia benchmarks demonstrate that our framework achieves competitive performance while maintaining transparency throughout. Ablations confirm that both the spherical k-means column selector and the counterfactual explanation stage are necessary to achieve the observed accuracy and transparency. © 2026 Elsevier Ltd.</t>
  </si>
  <si>
    <t xml:space="preserve">Nagpal R.</t>
  </si>
  <si>
    <t xml:space="preserve">Mitigating Hallucinations in Finance-Based Multi-Agent Large Language Model Systems</t>
  </si>
  <si>
    <t xml:space="preserve">Electronics (Switzerland)</t>
  </si>
  <si>
    <t xml:space="preserve">10.3390/electronics15194456</t>
  </si>
  <si>
    <t xml:space="preserve">Large language models are increasingly used for financial question answering, while they are prone to generating hallucinated content. In this research, we propose a multi-signal framework for hallucination detection and mitigation. Our framework combines six signals (entailment, semantic similarity, claim verification, numeric consistency, token overlap and confidence calibration techniques) to identify hallucination type and severity. We evaluated our framework using multiple language models across three financial QA benchmark datasets (FinQA, FinanceQA, and FinDER). Our proposed framework corrects up to 78.4% of the detected hallucinations (fix rate on the hallucinated subset of FinQA; 47.7% on FinanceQA and 45.7% on FinDER), outperforming a type-agnostic mitigation baseline on all three datasets. This highlights that targeted, type-aware hallucination mitigation can significantly improve answer reliability while remaining computationally effective. © 2026 by the authors.</t>
  </si>
  <si>
    <t xml:space="preserve">Quelle D.</t>
  </si>
  <si>
    <t xml:space="preserve">The perils and promises of fact-checking with large language models</t>
  </si>
  <si>
    <t xml:space="preserve">Frontiers in Artificial Intelligence</t>
  </si>
  <si>
    <t xml:space="preserve">10.3389/frai.2024.1341697</t>
  </si>
  <si>
    <t xml:space="preserve">Automated fact-checking, using machine learning to verify claims, has grown vital as misinformation spreads beyond human fact-checking capacity. Large language models (LLMs) like GPT-4 are increasingly trusted to write academic papers, lawsuits, and news articles and to verify information, emphasizing their role in discerning truth from falsehood and the importance of being able to verify their outputs. Understanding the capacities and limitations of LLMs in fact-checking tasks is therefore essential for ensuring the health of our information ecosystem. Here, we evaluate the use of LLM agents in fact-checking by having them phrase queries, retrieve contextual data, and make decisions. Importantly, in our framework, agents explain their reasoning and cite the relevant sources from the retrieved context. Our results show the enhanced prowess of LLMs when equipped with contextual information. GPT-4 outperforms GPT-3, but accuracy varies based on query language and claim veracity. While LLMs show promise in fact-checking, caution is essential due to inconsistent accuracy. Our investigation calls for further research, fostering a deeper comprehension of when agents succeed and when they fail. Copyright © 2024 Quelle and Bovet.</t>
  </si>
  <si>
    <t xml:space="preserve">Alrayzah A.</t>
  </si>
  <si>
    <t xml:space="preserve">CoAgt: unleashing the reasoning capabilities of large language models on tabular data with a chain of agents</t>
  </si>
  <si>
    <t xml:space="preserve">PeerJ Computer Science</t>
  </si>
  <si>
    <t xml:space="preserve">10.7717/peerj-cs.3423</t>
  </si>
  <si>
    <t xml:space="preserve">Large language models (LLMs) have shown remarkable progress in text-based reasoning, but they continue to struggle with large and complex tables. Token limitations and the loss of structural dependencies make it difficult for a single model to extract evidence, connect relationships, and produce reliable answers. To address this challenge, we introduce Chain of Agents (CoAgt) a multi-agent framework inspired by how human reason with tables, scanning data, comparing values, retaining information, and making decisions. In CoAgt, different agents share the workload: Collectors gather evidence from subtables, the Synthesizer integrates their findings into a coherent answer, and the Refiner ensures clarity and correctness. This division of labor makes the reasoning process both scalable and interpretable, while reducing the risk of errors that often occur when one model handles all steps alone. We evaluate CoAgt on two widely used benchmarks. On WikiTableQuestions (WikiTQ) it achieves 85.4% accuracy, outperforming the strong Chain-of-Table baseline by more than twenty-five percentage points. On Table Fact-Checking (TabFact) it reaches 96.6% accuracy, exceeding previous state-of-the-art results. These findings show that breaking reasoning into specialized agents not only improves performance but also offers a transparent and reliable approach for reasoning over large, complex tables. Copyright 2025 Alrayzah and Alqhtani. Distributed under Creative Commons CC-BY 4.0. http://www.creativecommons.org/licenses/by/4.0/</t>
  </si>
  <si>
    <t xml:space="preserve">Ghosh S.</t>
  </si>
  <si>
    <t xml:space="preserve">LLM-based AI agents for automated extraction of material properties and structural features</t>
  </si>
  <si>
    <t xml:space="preserve">Computational Materials Science</t>
  </si>
  <si>
    <t xml:space="preserve">10.1016/j.commatsci.2026.114521</t>
  </si>
  <si>
    <t xml:space="preserve">The lack of large, machine-readable datasets continues to constrain data-driven materials discovery. We present a closed-loop, agentic large-language-model (LLM) workflow that autonomously extracts thermoelectric and structural properties from ∼ 10,000 full-text scientific articles. The framework integrates context-engineered multi-agent orchestration , dynamic token allocation , and a built-in LLM-Judge that performs schema-level consistency checks to suppress hallucinated or malformed outputs. Unlike prior systems restricted to narrative text, our workflow unifies text, tables, and captions under a single reasoning graph, enabling cross-modal extraction and automated validation of tabular data. Benchmarking on a manually curated set of 50 papers shows that GPT-4.1 achieves the highest extraction accuracy (F1≈0.91 for thermoelectric properties, F1≈0.838 for structural fields). At the same time, GPT-4.1 Mini offers nearly comparable performance (F1≈0.889 for thermoelectric, F1≈0.833 for structural) at a fraction of the cost, enabling large-scale deployment. Applying this workflow, we create a data set of 18,869 property temperature records with normalized units, spanning the figure of merit (ZT), Seebeck coefficient, electrical conductivity, power factor, and thermal conductivity, together with structural attributes such as crystal class, space group, and doping strategy. Following chemical validation, 11,927 entries are released through an interactive web explorer supporting semantic filters, numeric queries, and CSV export. Beyond thermoelectrics, this cross-modal, extensible agent architecture establishes a general paradigm for large-scale, verifiable data extraction from unstructured scientific literature. © 2026 Elsevier B.V.</t>
  </si>
  <si>
    <t xml:space="preserve">Zhang L.</t>
  </si>
  <si>
    <t xml:space="preserve">Automatic building energy model development and debugging using large language models agentic workflow</t>
  </si>
  <si>
    <t xml:space="preserve">Energy and Buildings</t>
  </si>
  <si>
    <t xml:space="preserve">10.1016/j.enbuild.2024.115116</t>
  </si>
  <si>
    <t xml:space="preserve">Building energy modeling (BEM) is a complex process that demands significant time and expertise, limiting its broader application in building design and operations. While Large Language Models (LLMs) agentic workflow have facilitated complex engineering processes, their application in BEM has not been specifically explored. This paper investigates the feasibility of automating BEM using LLM agentic workflow. We developed a generic LLM-planning-based workflow that takes a building description as input and generates an error-free EnergyPlus building energy model. Our robust workflow includes four core agents: 1) Building Description Pre-Processing, 2) IDF Object Information Extraction, 3) Single IDF Object Generator Suite, and 4) IDF Debugging Agent. These agents divide the complex tasks into manageable sub-steps, enabling LLMs to generate accurate and reliable results at each stage. The case study demonstrates the successful translation of a building description into an error-free EnergyPlus model for the iUnit modular building at the National Renewable Energy Laboratory. The effectiveness of our workflow surpasses: 1) naive prompt engineering, 2) other LLM-based workflows, and 3) manual modeling, in terms of accuracy, reliability, and time efficiency. The paper concludes with a discussion on the interplay between foundational models and LLM agent planning design, advocating for the use of fine-tuned, specialized models to advance this field. © 2024 Elsevier B.V.</t>
  </si>
  <si>
    <t xml:space="preserve">Odobesku R.</t>
  </si>
  <si>
    <t xml:space="preserve">Agent-based multimodal information extraction for nanomaterials</t>
  </si>
  <si>
    <t xml:space="preserve">npj Computational Materials</t>
  </si>
  <si>
    <t xml:space="preserve">10.1038/s41524-025-01674-7</t>
  </si>
  <si>
    <t xml:space="preserve">Automating structured data extraction from scientific literature is a critical challenge with broad implications across domains. We introduce nanoMINER, a multi-agent system combining large language models and multimodal analysis to extract essential information from scientific research articles on nanomaterials. This system processes documents end-to-end, utilizing tools such as YOLO for visual data extraction and GPT-4o for linking textual and visual information. At its core, the ReAct agent orchestrates specialized agents to ensure comprehensive data extraction. We demonstrate the efficacy of the system by automating the assembly of nanomaterial and nanozyme datasets previously manually curated by domain experts. NanoMINER achieves high precision in extracting nanomaterial properties like chemical formulas, crystal systems, and surface characteristics. For nanozymes, we obtain near-perfect precision (0.98) for kinetic parameters and essential features such as Cmin and Cmax. To benchmark the system performance, we also compare nanoMINER to several baseline LLMs, including the most recent multimodal GPT-4.1, and show consistently higher extraction precision and recall. Our approach is extensible to other domains of materials science and fields like biomedicine, advancing data-driven research methodologies and automated knowledge extraction. © The Author(s) 2025.</t>
  </si>
  <si>
    <t xml:space="preserve">Wang X.</t>
  </si>
  <si>
    <r>
      <rPr>
        <sz val="10"/>
        <rFont val="Arial"/>
        <family val="0"/>
        <charset val="1"/>
      </rPr>
      <t xml:space="preserve">Multi-source assembly knowledge fusion and assembly agent for robotic assembly; [</t>
    </r>
    <r>
      <rPr>
        <sz val="10"/>
        <rFont val="Noto Sans CJK SC"/>
        <family val="2"/>
      </rPr>
      <t xml:space="preserve">基于多源装配知识融合与装配智能体的机器人装配方法</t>
    </r>
    <r>
      <rPr>
        <sz val="10"/>
        <rFont val="Arial"/>
        <family val="0"/>
        <charset val="1"/>
      </rPr>
      <t xml:space="preserve">]</t>
    </r>
  </si>
  <si>
    <t xml:space="preserve">Jisuanji Jicheng Zhizao Xitong/Computer Integrated Manufacturing Systems, CIMS</t>
  </si>
  <si>
    <t xml:space="preserve">10.13196/j.cims.2026.0015</t>
  </si>
  <si>
    <t xml:space="preserve">To address the challenges faced by general-purpose Large Language Model (LLM) in assembly task planning and robot control code generation, including insufficient coverage of assembly-domain knowledge, inadequate semantic understanding of specific assemblies, and the lack of real-time feedback and dynamic adjustment capability, a Multi-source Assembly knowledge Fusion and Assembly Agent for Robotic assembly (MAFAR) was proposed. A multi-source assembly dataset was constructed, consisting of digital assemblies, assembly process documents, and assembly skill library. The Graph RAG method was used to achieve semantic fusion and index construction of multi-source assembly knowledge, thereby organizing the knowledge into an assembly knowledge graph to provide assembly information for the LLM. For robotic assembly execution, a closed-loop assembly-agent framework of "Think-Act-Reflect" was designed. The LLM served as the decision core, performing assembly intent parsing in the Think stage. In the Act stage, a hierarchical prompting pipeline of "basic information extraction-task planning-code generation" was established to improve the controllability of LLM generation. In the Reflect stage, a two-stage verification mechanism of "LLM self-reflection plus expert evaluation" was introduced to enable dynamic error correction and retrospective optimization of assembly tasks. Experiments showed that the proposed method could significantly improve the success rate of LLM-driven robotic assembly, enhance the semantic understanding ability of LLM in personalized robotic assembly tasks, and improve the execution stability of robotic assembly tasks. © 2026, CIMS. All rights reserved.</t>
  </si>
  <si>
    <t xml:space="preserve">Stănescu D.</t>
  </si>
  <si>
    <t xml:space="preserve">ARE TWO MINDS BETTER THAN ONE? EVALUATING COLLABORATIVE REASONING IN LLMS</t>
  </si>
  <si>
    <t xml:space="preserve">UPB Scientific Bulletin, Series C: Electrical Engineering and Computer Science</t>
  </si>
  <si>
    <t xml:space="preserve">Large language models (LLMs) have shown strong capabilities in reasoning and problem solving, but their outputs often suffer from inconsistency, shallow verification, and occasional errors. Recent research has suggested that collaboration between multiple LLMs, inspired by human group problem solving, could mitigate these weaknesses. This paper investigates whether collaborative interactions between large language models (LLMs) can outperform solo reasoning. We compared single-agent reasoning against two-agent collaborations using two modes: debate and consensus. Using a quota-aware evaluation threshold, we tested GPT-4.1 and GPT-4o on 30 tasks across two categories: (1) problem solving (mathematical, logical, and role-based reasoning), and (2) fact-checking and factual synthesis. Our results suggest that collaboration improves robustness in tasks requiring multistep reasoning and factual cross-validation, but it introduces additional latency and token usage. We discuss trade-offs between accuracy, efficiency, and cost, providing evidence-based guidance on when “two minds are better than one” in LLM reasoning. © 2026, Politechnica University of Bucharest. All rights reserved.</t>
  </si>
  <si>
    <t xml:space="preserve">Zhao X.</t>
  </si>
  <si>
    <t xml:space="preserve">Debapt: Ontology-driven multi-agent debate for APT adversary profile construction from cyber threat intelligence</t>
  </si>
  <si>
    <t xml:space="preserve">Computers and Security</t>
  </si>
  <si>
    <t xml:space="preserve">10.1016/j.cose.2026.104988</t>
  </si>
  <si>
    <t xml:space="preserve">Cyber threat intelligence (CTI) reports contain rich information about advanced persistent threat (APT) groups. This information is useful for adversary profile construction. However, turning long and fragmented CTI reports into structured adversary profiles remains difficult. Existing methods mainly rely on named entity and relation extraction pipelines or single large language models (LLMs). These methods often lack explicit semantic constraints for profile-oriented tasks. They are also prone to omission and hallucination when processing long reports. In this paper, we study APT adversary profile construction from CTI reports. We formulate this task as an ontology-constrained profile information extraction task. To support this task, we develop VICTOR, a domain-specific ontology that organizes profile-relevant information into six dimensions. We then propose Debapt, an ontology-driven multi-agent debate framework. Guided by VICTOR, Debapt performs APT adversary profile construction through two debate loops in the entity extraction phase and relation extraction phase. In each loop, role-specialized agents iteratively extract, review, and adjudicate candidate profile-relevant facts under moderator supervision. These extracted results can be further aggregated across reports to support actor-centric adversary profile construction. To evaluate Debapt, we re-annotate three public CTI datasets under a unified profiling schema. Experimental results show that Debapt improves profile-oriented entity and relation extraction over competitive baselines. It extracts more complete and better grounded profile-relevant facts from CTI reports. Case studies further show that these extracted results can support the construction of analytically useful adversary profiles. © 2026 The Authors</t>
  </si>
  <si>
    <t xml:space="preserve">Fagbenro M.</t>
  </si>
  <si>
    <t xml:space="preserve">Improved multi-agent knowledge sharing system using knowledge graphs for news bias detection and fact-checking</t>
  </si>
  <si>
    <t xml:space="preserve">Neural Computing and Applications</t>
  </si>
  <si>
    <t xml:space="preserve">10.1007/s00521-026-11944-0</t>
  </si>
  <si>
    <t xml:space="preserve">This research study explores how integrating a multi-agent system with a knowledge graph as shared memory enhances news bias analyses, detection, and fact-checking. Automated fact-checking and verification systems have evolved significantly but often struggle with complex contextual information and advanced narratives. This research examines the potential advantages of structured knowledge graphs, which offer significant advantages over both direct LLM prompting and unstructured RAG retrieval approaches in multi-agent systems for news evaluation. This system was designed and implemented as a framework showing multiple specialized agents using Large Language Models (LLMs) to collaborate while building and referencing a dynamic shared knowledge graph. Experiments conducted on diverse political news article datasets comparing three approaches-RAG baseline, LLM-only, and KG-augmented system-with statistical significance testing showing that integrating knowledge graphs improved performance over both RAG baseline and LLM-only. The result indicates that the multi-agent system with a knowledge graph outperforms baselines (p &lt; 0.01), achieving an F1 of 0.901 for bias detection (vs. 0.287 RAG, 0.713 LLM-only) and an F1 of 0.794 for fact-checking (vs. 0.661 RAG, 0.720 LLM-only). These results show that adding a structured knowledge graph representation to a multi-agent system is much better than unstructured retrieval, with statistically significant improvements in both the RAG baseline and LLM-only. © The Author(s), under exclusive licence to Springer-Verlag London Ltd., part of Springer Nature 2026.</t>
  </si>
  <si>
    <t xml:space="preserve">Yang L.</t>
  </si>
  <si>
    <t xml:space="preserve">Research on risk decision-making generation method for water conservancy project based on multimodal knowledge graph and large language model</t>
  </si>
  <si>
    <t xml:space="preserve">PLOS ONE</t>
  </si>
  <si>
    <t xml:space="preserve">10.1371/journal.pone.0330258</t>
  </si>
  <si>
    <t xml:space="preserve">Traditional knowledge graphs of water conservancy project risks have supported risk decision-making. However, they are constrained by limited data modalities and low accuracy in information extraction. A multimodal water conservancy project risk knowledge graph is proposed in this study, along with a synergistic strategy involving multimodal large language models Risk decision-making generation is facilitated through a multi-agent agentic retrieval-augmented generation framework. To enhance visual recognition, a DenseNet-based image classification model is improved by incorporating single-head self-attention and coordinate attention mechanisms. For textual data, risk entities such as locations, components, and events are extracted using a BERT-BiLSTM-CRF architecture. These extracted entities serve as the foundation for constructing the multimodal knowledge graph. To support generation, a multi-agent agentic retrieval-augmented generation mechanism is introduced. This mechanism enhances the reliability and interpretability of risk decision-making outputs. In experiments, the enhanced DenseNet model outperforms the original baseline in both precision and recall for image recognition tasks. In risk decision-making tasks, the proposed approach—combining a multimodal knowledge graph with a multi-agent agentic retrieval-augmented generation method—achieves strong performance on BERTScore and ROUGE-L metrics. This work presents a novel perspective for leveraging multimodal knowledge graphs in water conservancy project risk management. © 2025 Yang et al. This is an open access article distributed under the terms of the Creative Commons Attribution License, which permits unrestricted use, distribution, and reproduction in any medium, provided the original author and source are credited.</t>
  </si>
  <si>
    <t xml:space="preserve">Tong X.</t>
  </si>
  <si>
    <t xml:space="preserve">T2F: a domain-agnostic multi-agent framework for unstructured text to factuality evaluation items generation</t>
  </si>
  <si>
    <t xml:space="preserve">Discover Artificial Intelligence</t>
  </si>
  <si>
    <t xml:space="preserve">10.1007/s44163-025-00294-w</t>
  </si>
  <si>
    <t xml:space="preserve">Large language models (LLMs) demonstrate exceptional linguistic capabilities in text generation but remain prone to factual errors, particularly in specialized domains. Traditional factuality evaluation methods primarily rely on human annotation, which is costly, time-consuming, and difficult to generalize across different domains. To address these limitations, this study proposes an innovative multi-agent framework-T2F (Text-to-Factuality)-designed to automatically convert unstructured text into high-quality factuality evaluation datasets. T2F operates through the coordinated efforts of four specialized agents: Analysis, Information Extraction, Generation, and Validation. By systematically processing input data, T2F autonomously generates multiple types of assessment items-including single-choice questions, fill-in-the-blank questions, and true/false statements-without requiring human annotation, while maintaining strong cross-domain applicability. Experimental results demonstrate that T2F achieves data conversion success rates of 99% in the World Heritage domain, 98% in the Medical domain, and 85% in the Film domain. The generated data effectively assess LLMs’ factuality accuracy, highlighting T2F’s capability as a scalable and domain-agnostic factuality evaluation framework. © The Author(s) 2025.</t>
  </si>
  <si>
    <t xml:space="preserve">Paetzold F.</t>
  </si>
  <si>
    <t xml:space="preserve">From weak signals to risk indicators: An LLM-based information extraction architecture for IT project risk management</t>
  </si>
  <si>
    <t xml:space="preserve">Electronic Markets</t>
  </si>
  <si>
    <t xml:space="preserve">10.1007/s12525-026-00928-6</t>
  </si>
  <si>
    <t xml:space="preserve">Effective risk management is crucial yet challenging in modern projects because early warning signals often surface in informal, unstructured data sources and evolve as project contexts change. Since prevailing project risk management (PRM) practices largely depend on structured inputs and episodic control routines, they can miss these subtle signals, creating a temporal detection gap between risk emergence and formal identification. This paper introduces an LLM-based architecture for information extraction in PRM. Following a Design Science Research approach, we design, instantiate, and evaluate it, governed by two complementary flows: an Information Flow that continuously transforms heterogeneous project communication into structured, evidence-linked risk indicators through domain-specialized extraction and cross-source reconciliation, and an Extraction Control Flow that versions extraction behavior to remain adaptable, transparent, and auditable. We abstract four nascent design principles capturing transferable design knowledge for LLM-based information extraction in dynamic, context-rich domains. © The Author(s) 2026.</t>
  </si>
  <si>
    <t xml:space="preserve">Zou X.</t>
  </si>
  <si>
    <t xml:space="preserve">MRBalance: A framework for enhancing event causality identification in multi-agent debates via role assignment</t>
  </si>
  <si>
    <t xml:space="preserve">Knowledge-Based Systems</t>
  </si>
  <si>
    <t xml:space="preserve">10.1016/j.knosys.2025.114470</t>
  </si>
  <si>
    <t xml:space="preserve">The rapid development of large language models (LLMs) has advanced natural language processing by improving contextual understanding and generalization abilities. However, despite these advances, determining event causality remains a challenging task. When LLMs are applied to this task, they frequently exhibit significant inconsistencies in recognizing causal representations, resulting in the phenomenon known as causal hallucinations. Specifically, LLMs perform well in predicting events with causal relationships but struggle with events without such relationships, frequently failing to achieve balanced performance across different causal scenarios. In this study, we propose MRBalance, a novel framework that uses role-based multi-agent debates to improve event causality identification. Our method transforms the task into a single-choice question-answering task, prompting LLM-based agents to engage in structured debates and justify their answers using their unique role-based perspectives. In addition, we introduce a mechanism for optimizing team members that selects the best agents to participate in the next debate when the debate rounds are lengthy. Extensive experiments on two benchmark datasets demonstrate significant performance improvements, highlighting the effectiveness of MRBalance in reducing causal hallucinations and increasing robustness. © 2025 Elsevier B.V.</t>
  </si>
  <si>
    <t xml:space="preserve">Jeong S.</t>
  </si>
  <si>
    <t xml:space="preserve">Tool-MAD: A Multi-Agent Debate Framework for Fact Verification with Diverse Tool Augmentation and Adaptive Retrieval</t>
  </si>
  <si>
    <t xml:space="preserve">IEEE Access</t>
  </si>
  <si>
    <t xml:space="preserve">10.1109/ACCESS.2026.3716053</t>
  </si>
  <si>
    <t xml:space="preserve">Large Language Models (LLMs) often suffer from hallucinations and factual inaccuracies, particularly in complex reasoning and fact verification tasks. Multi-Agent Debate (MAD) systems aim to improve answer accuracy by enabling multiple LLM agents to engage in dialogue, promoting diverse reasoning and mutual verification. However, existing MAD frameworks primarily rely on internal knowledge or static documents, making them vulnerable to hallucinations. While multi-agent debate with knowledge-enhanced framework (MADKE) introduces external evidence to mitigate this issue, its one-time retrieval mechanism limits adaptability to new arguments or emerging information during the debate. To address these limitations, we propose Tool-MAD, a multi-agent debate framework that enhances factual verification by assigning each agent a distinct external tool, such as a search API or a RAG module. Tool-MAD introduces three key innovations: (1) a multi-agent debate framework in which agents leverage heterogeneous external tools to encourage diverse perspectives, (2) an adaptive query formulation mechanism that iteratively refines evidence retrieval as the debate progresses, and (3) the integration of Faithfulness and Answer Relevance scores into the final decision process, enabling the Judge agent to quantitatively evaluate response grounding and question alignment. Experimental results on four fact verification benchmarks show that Tool-MAD consistently outperforms MAD and achieves stronger or comparable performance than MADKE, with performance improvements of up to 11.2 percentage points over MAD and 8.0 percentage points over MADKE. Furthermore, experiments in medically specialized domains demonstrate that Tool-MAD maintains stable performance across different tool configurations and domain conditions, suggesting strong potential for broader real-world fact-checking applications.  © 2013 IEEE.</t>
  </si>
  <si>
    <t xml:space="preserve">SHI D.</t>
  </si>
  <si>
    <r>
      <rPr>
        <sz val="10"/>
        <rFont val="Arial"/>
        <family val="0"/>
        <charset val="1"/>
      </rPr>
      <t xml:space="preserve">RCRQ: Multi-agent Information Extraction Framework for Traffic Accident Texts; [RCRQ:</t>
    </r>
    <r>
      <rPr>
        <sz val="10"/>
        <rFont val="Noto Sans CJK SC"/>
        <family val="2"/>
      </rPr>
      <t xml:space="preserve">面向交通事故文本的多智能体信息抽取框架</t>
    </r>
    <r>
      <rPr>
        <sz val="10"/>
        <rFont val="Arial"/>
        <family val="0"/>
        <charset val="1"/>
      </rPr>
      <t xml:space="preserve">]</t>
    </r>
  </si>
  <si>
    <t xml:space="preserve">Journal of Frontiers of Computer Science and Technology</t>
  </si>
  <si>
    <t xml:space="preserve">10.3778/j.issn.1673-9418.2508069</t>
  </si>
  <si>
    <t xml:space="preserve">Building on the police traffic authority’s reliance on textual evidence for handling and regulating autonomous-vehicle (AV) incidents, this paper addresses extraction challenges posed by heterogeneous report genres, frequent cross-sentence coreference, disordered timelines, and missing causal statements. This paper proposes a multi-agent entity-event-relation structured information-extraction framework that treats large language models (LLMs) as agents and produces interpretable, high-confidence outputs through multi-stage processing, to support knowledge-graph construction and rule mining. For the constructed Accident-Benchmark dataset, this paper generates gold annotations via a dual-model collaboration with human-in-the-loop (HITL) verification. Then, this paper uses progressive prompt screening to select the best performer as the single- agent baseline. This paper designs an RCRQ MA framework that enhances extraction through staged reasoning, targeted error diagnosis, iterative repair, and consistency checking, and introduces a joint distillation method that leverages both reasoning trajectories and final outputs to further reduce inference cost. Experiments show that, relative to the single-agent baseline, the RCRQ MA framework yields substantial gains: on DeepSeek-V3, F1 for entities, event triggers, and event arguments improves by 1.89, 7.32, and 5.75 percentage points, respectively; on GLM-4-9B, the human-evaluation average score for relation extraction increases by 0.4 on a five-point scale. Both models outperform alternative baselines, validating the effectiveness of the proposed approach.</t>
  </si>
  <si>
    <t xml:space="preserve">Chang L.-J.</t>
  </si>
  <si>
    <t xml:space="preserve">FactualRAG: a RAG-Powered framework for LLM fact-checking via IFCN-Accredited sources</t>
  </si>
  <si>
    <t xml:space="preserve">Journal of Intelligent Information Systems</t>
  </si>
  <si>
    <t xml:space="preserve">10.1007/s10844-026-01041-y</t>
  </si>
  <si>
    <t xml:space="preserve">The proliferation of misinformation on digital platforms has intensified the demand for accurate and scalable fact-checking. This paper introduces FactualRAG, a retrieval augmented generation (RAG) framework that grounds large language models (LLMs) in external evidence to improve factual accuracy and transparency. FactualRAG combines hybrid retrieval with modular reasoning, aiming to reduce the risk of ungrounded model outputs and support verifiable claim checking. Evaluations across multiple datasets show substantial improvements on AVeriTeC and MultiFC, while results on Climate-Fever highlight the limits of retrieval when coverage is weak. We further test a lightweight Debate extension among multiple LLM agents, which yields incremental gains under strong evidence conditions. Among models, Gemma 2:9b achieves the strongest results on AVeriTeC and MultiFC, though no single model dominates across all benchmarks. Overall, these findings clarify when retrieval-driven methods are most effective and how multi-agent debate can complement them, offering practical guidance for building reliable, interpretable fact-checking tools in journalism, policy, and content moderation. © The Author(s), under exclusive licence to Springer Science+Business Media, LLC, part of Springer Nature 2026.</t>
  </si>
  <si>
    <t xml:space="preserve">Sharifuzzaman Sagar A.S.M.</t>
  </si>
  <si>
    <t xml:space="preserve">Fact or Fake? Assessing the Role of Deepfake Detectors in Multimodal Misinformation Detection</t>
  </si>
  <si>
    <t xml:space="preserve">10.1109/ACCESS.2026.3686437</t>
  </si>
  <si>
    <t xml:space="preserve">In multimodal misinformation, deception usually arises not just from pixel-level manipulations in an image, but from the semantic and contextual claim jointly expressed by the image–text pair. Yet most deepfake detectors, engineered to detect pixel-level forgeries, do not account for claim-level meaning, despite their growing integration in automated fact-checking (AFC) pipelines. This raises a central scientific and practical question: Do pixel-level detectors contribute useful signal for verifying image–text claims, or do they instead introduce misleading authenticity priors that undermine evidence-based reasoning? We provide the first systematic analysis of deepfake detectors in the context of multimodal misinformation detection. Using two complementary benchmarks such as MMFakeBench and DGM4, we evaluate: i) state-of-the-art image-only deepfake detectors, ii) an evidence-driven fact-checking system that performs tool-guided retrieval via Monte Carlo Tree Search (MCTS) and engages in deliberative inference through Multi-Agent Debate (MAD), and iii) a hybrid fact-checking system that injects detector outputs as auxiliary evidence. Results across both benchmark datasets show that deepfake detectors offer limited standalone value, achieving F1 scores in the range of 0.26–0.53 on MMFakeBench and 0.33–0.49 on DGM4, and that incorporating their predictions into fact-checking pipelines consistently reduces performance by 0.04–0.08 F1 due to non-causal authenticity assumptions. In contrast, the evidence-centric fact-checking system achieves the highest performance, reaching F1 scores of approximately 0.81 on MMFakeBench and 0.55 on DGM4. Overall, our findings demonstrate that multimodal claim verification is driven primarily by semantic understanding and external evidence, and that pixel-level artifact signals do not reliably enhance reasoning over real-world image–text misinformation. © 2026 The Authors.</t>
  </si>
  <si>
    <t xml:space="preserve">Liu Z.</t>
  </si>
  <si>
    <t xml:space="preserve">A more advanced group polarization measurement approach based on LLM-based agents and graphs</t>
  </si>
  <si>
    <t xml:space="preserve">Information Research</t>
  </si>
  <si>
    <t xml:space="preserve">10.47989/ir30iConf47578</t>
  </si>
  <si>
    <t xml:space="preserve">Introduction. Group polarization is an important research direction in social media content analysis, attracting many researchers to explore this field. Therefore, how to effectively measure group polarization has become a critical topic. Measuring group polarization on social media presents several challenges that have not yet been addressed by existing solutions. First, social media group polarization measurement involves processing vast amounts of text, which poses a significant challenge for information extraction. Second, social media texts often contain hard-to-understand content, including sarcasm, emojis, and internet slang. Additionally, group polarization research focuses on holistic analysis, while texts is typically fragmented. These challenges indicate that a new solution needs to be proposed. Method. To address these challenges, we designed a solution based on a multi-agent system and used a graph-structured community sentiment network (CSN) to represent polarization states. Furthermore, we developed a metric called community opposition index (COI) based on the CSN to quantify polarization. Conclusion. We tested our multi-agent system through a zero-shot stance detection task and achieved outstanding results, which proved its significant value in terms of usability and accuracy. © The Author(s).</t>
  </si>
  <si>
    <t xml:space="preserve">Iwaszenko S.</t>
  </si>
  <si>
    <t xml:space="preserve">NLP System for Automation of Document Workflow in a Research and Development Organization—A Case Study</t>
  </si>
  <si>
    <t xml:space="preserve">10.3390/app16094562</t>
  </si>
  <si>
    <t xml:space="preserve">Featured Application: The Large language model (LLM)-based system for autonomous document processing was developed with a view to its application in the GIG National Research Institute (GIG-NRI). The system will help with automatic document classification, and depending on the type, information extraction, summarization, or action triggering. The system is in the Minimum Viable Product (MVP) stage, and its further development depends on pilot assessments. Research and development (R&amp;D) organizations face significant operational bottlenecks due to the manual processing of diverse, unstructured documents. This paper presents the design, implementation, and pilot evaluation of an on-premise, multi-agent natural language processing (NLP) system developed for the GIG National Research Institute (GIG-NRI). Built upon a LangGraph architecture, the system utilizes open-weight large language models (LLMs) to perform zero-shot document classification, dynamic routing, and specialized information extraction. We rigorously evaluated the classification agent across twelve different local LLMs under two distinct testing regimes: first, using a strictly defined dataset of known administrative and scientific document types, and second, introducing a subset of out-of-distribution (unclassified) data to test real-world robustness. Our results demonstrate that the 70-billion parameter model (cogito:70b) achieved a peak accuracy of 97.3% in the first regime and maintained a strong 94.3% accuracy when confronted with out-of-spec data. However, our analysis reveals a critical operational trade-off regarding computational efficiency. The 24-billion parameter (magistral:24b) and 32-billion parameter (qwen3:32b) models emerged as the next best in overall accuracy while requiring less than half the processing time of their 70B counterpart. Notably, magistral:24b proved superior for strictly defined document streams, whereas qwen3:32b demonstrated greater robustness when handling out-of-distribution inputs. Furthermore, we demonstrate the efficacy of heterogeneous model assignments for complex multi-stage tasks, such as Scientific Article summarization via hierarchical Map-Reduce. © 2026 by the authors.</t>
  </si>
  <si>
    <t xml:space="preserve">Eligible</t>
  </si>
  <si>
    <t xml:space="preserve">N</t>
  </si>
  <si>
    <t xml:space="preserve">Hsu E.</t>
  </si>
  <si>
    <t xml:space="preserve">LLM-IE: a python package for biomedical generative information extraction with large language models</t>
  </si>
  <si>
    <t xml:space="preserve">JAMIA Open</t>
  </si>
  <si>
    <t xml:space="preserve">10.1093/jamiaopen/ooaf012</t>
  </si>
  <si>
    <t xml:space="preserve">Objectives: Despite the recent adoption of large language models (LLMs) for biomedical information extraction (IE), challenges in prompt engineering and algorithms persist, with no dedicated software available. To address this, we developed LLM-IE: a Python package for building complete IE pipelines. Materials and Methods: The LLM-IE supports named entity recognition, entity attribute extraction, and relation extraction tasks. We benchmarked it on the i2b2 clinical datasets. Results: The sentence-based prompting algorithm resulted in the best 8-shot performance of over 70% strict F1 for entity extraction and about 60% F1 for entity attribute extraction. Discussion: We developed a Python package, LLM-IE, highlighting (1) an interactive LLM agent to support schema definition and prompt design, (2) state-of-the-art prompting algorithms, and (3) visualization features. Conclusion: The LLM-IE provides essential building blocks for developing robust information extraction pipelines. Future work will aim to expand its features and further optimize computational efficiency. © The Author(s) 2025. Published by Oxford University Press on behalf of the American Medical Informatics Association.</t>
  </si>
  <si>
    <t xml:space="preserve">Dong Y.</t>
  </si>
  <si>
    <t xml:space="preserve">Multi-agent systems and credibility-based advanced scoring mechanism in fact-checking</t>
  </si>
  <si>
    <t xml:space="preserve">Scientific Reports</t>
  </si>
  <si>
    <t xml:space="preserve">10.1038/s41598-026-41862-z</t>
  </si>
  <si>
    <t xml:space="preserve">Fact-checking is crucial as rumours and misinformation negatively impact social networking services (SNS) and online discussions, often leading to the spread of misinformation. Meanwhile, fact-checking with large language models (LLMs) is becoming increasingly popular with the increase in the performance of LLMs. However, the previous works have issues, including overconfidence in the judgment results of LLM and the insufficiency of binary fact-checking due to the text’s complexity. On the other hand, using multiple information sources to make judgments reveals another obstacle: the lack of proper scoring mechanisms. Thus, we propose a framework called multi-agent fact-checking (MAFC), which includes multiple agents with unique information sources to measure the text’s credibility. Specifically, a brand-new scoring mechanism is also used to calculate credibility according to each agent’s judgment results and confidence. We tested our proposed method through several comparative experiments. The results of the experiments prove that the proposed method performs better than other baselines in both the binary fact-checking task and the multi-label fact-checking task. Finally, the challenges and obstacles existing in fact-checking fields, such as the definition standards and dataset creation, are discussed. © The Author(s) 2026.</t>
  </si>
  <si>
    <t xml:space="preserve">Elmitwalli S.</t>
  </si>
  <si>
    <t xml:space="preserve">Development and validation of a multi-agent AI pipeline for automated credibility assessment of tobacco misinformation: a proof-of-concept study</t>
  </si>
  <si>
    <t xml:space="preserve">10.3389/frai.2025.1659861</t>
  </si>
  <si>
    <t xml:space="preserve">Background: The proliferation of tobacco-related misinformation poses significant public health risks, requiring scalable solutions for credibility assessment. Traditional manual fact-checking approaches are resource-intensive and cannot match the pace of misinformation spread. Objective: To develop and validate a proof-of-concept multi-agent AI pipeline for automated credibility assessment of tobacco misinformation claims, evaluating its performance against expert human reviewers. Methods: We constructed a three-agent pipeline using OpenAI GPT-4.1 and the Crewai framework. The Serper API provided real-time evidence retrieval. The Content Analyzer classifies claims into four types: health impact, scientific assertion, policy, or statistical. The Scientific Fact Verifier queries authoritative sources (WHO, CDC, PubMed Central, Cochrane). The Health Evidence Assessor applies weighted scoring across five dimensions to assign 0–100 credibility scores on a five-level scale. Results: The framework achieved an MAE of 6.25 points against expert scores, a weighted Cohen’s κ of 0.68 (95% CI: 0.52–0.84) indicating substantial agreement, 70% exact category agreement, 95% adjacent-level agreement, and processed each claim in under 7 s—over 1,000 × faster than manual review. Limitations: We validated our approach using 20 diverse tobacco claims through intensive expert review (2–4 h per claim). The system exhibited a conservative bias (+3.25 points, p = 0.03) and did not classify any claims as “Highly Unlikely” despite expert assignment of two claims to this category. This proof-of-concept demonstrates technical feasibility and substantial inter-rater agreement while identifying areas for calibration in future large-scale implementations. Conclusion: Our proof-of-concept agentic AI pipeline demonstrates substantial agreement with expert assessments of tobacco-related claims while providing dramatic speed improvements. By combining zero-shot LLM reasoning, retrieval-grounded evidence verification, and a transparent five-level scoring schema, the system offers a practical tool for real-time misinformation monitoring in public health. This proof-of-concept establishes technical feasibility for automated tobacco misinformation assessment, with validation results supporting further development and larger-scale testing before operational deployment. Copyright © 2025 Elmitwalli, Mehegan, Braznell and Gallagher.</t>
  </si>
  <si>
    <t xml:space="preserve">Situ R.</t>
  </si>
  <si>
    <t xml:space="preserve">Self-improving multi-agent framework for zero-shot multimodal information extraction</t>
  </si>
  <si>
    <t xml:space="preserve">Expert Systems with Applications</t>
  </si>
  <si>
    <t xml:space="preserve">10.1016/j.eswa.2026.132010</t>
  </si>
  <si>
    <t xml:space="preserve">Zero-shot multimodal information extraction (MIE) aims to extract structured information from multimedia content without relying on annotated data, posing significant challenges due to minimal human intervention. Recent efforts adapt large language models (LLMs) to this task, leveraging their strong generalization capabilities. While promising, two key limitations remain: (i) most methods rely on single-turn or multi-turn interactions with a single LLM, which struggle with complex schemas, long input contexts, and nuanced instruction following; and (ii) demonstration retrieval is often based on shallow semantic similarity, neglecting entity-level relevance and misleading LLMs during inference. To address these challenges, we propose a self-improving multi-agent system (SIMAS) for zero-shot MIE. SIMAS comprises three specialized LLM-based agents: (i) a task-agnostic demonstration selector that retrieves entity-aware samples from unlabeled corpora, (ii) an machine reading comprehension (MRC)-based self-annotator that formulates annotation as a multiple-choice question answering (QA) task and employs a multi-agent debate (MD) mechanism for improved reliability, and (iii) a retrieval-augmented code generation predictor that reformulates MIE as structured code generation problems, guided by the self-annotated demonstrations. By distributing complex MIE problem across cooperative agents, SIMAS mitigates performance degradation from overloading a single agent and stimulates the self-learning capabilities of LLMs. Experiments on six benchmarks show that SIMAS consistently achieves state-of-the-art zero-shot performance, and remarkably, surpasses fine-tuned models trained on large-scale labeled data in three benchmarks. © 2026 Published by Elsevier Ltd.</t>
  </si>
  <si>
    <t xml:space="preserve">Ma X.</t>
  </si>
  <si>
    <t xml:space="preserve">Guided and knowledgeable multi-agent debate for fact verification</t>
  </si>
  <si>
    <t xml:space="preserve">10.1016/j.eswa.2025.130103</t>
  </si>
  <si>
    <t xml:space="preserve">The rapid dissemination of misinformation through social media and open-access platforms has seriously affected public and personal lives and raised data security concerns. Fact verification plays a pivotal role in curbing the spread of such information. While Large Language Models have shown strong capabilities in reasoning and generation, their inherent issues—such as hallucination and bias—can lead to unreliable and logically inconsistent outputs, making them less trustworthy in fact verification tasks. To address these limitations, we propose GKMAD (Guided and Knowledgeable Multi-Agent Debate), a multi-agent fact verification framework designed to enhance reliability by incorporating structured guidance and external knowledge. Specifically, GKMAD incorporates four key mechanisms: (1) a Guided Debate Mechanism that introduces structured prompts to steer agent debates in a targeted and coherent manner; (2) a Knowledgeable Debate Mechanism that enables agents to dynamically incorporate external knowledge to enhance the informativeness and knowledge coverage of the debate; (3) an Advanced Advice Mechanism that generates structured advice from debate outcomes to guide final verification; and (4) a Knowledgeable Verification Mechanism that combines retrieved evidence and debate insights for comprehensive decision-making. Experimental results the FOLK benchmark datasets—constructed from representative subsets of HoVER, FEVEROUS, and SciFact-Open—across seven fact verification tasks demonstrate that GKMAD consistently outperforms state-of-the-art baselines in terms of Macro-F1, confirming the effectiveness of guidance and knowledge integration in mitigating LLM unreliability in fact verification. © 2025 Elsevier Ltd. All rights are reserved, including those for text and data mining, AI training, and similar technologies.</t>
  </si>
  <si>
    <t xml:space="preserve">Song X.</t>
  </si>
  <si>
    <t xml:space="preserve">Enhancing global value chain transparency: A multi-agent AI framework for detecting ESG greenwashing with open-source innovations</t>
  </si>
  <si>
    <t xml:space="preserve">Journal of Business Research</t>
  </si>
  <si>
    <t xml:space="preserve">10.1016/j.jbusres.2026.116242</t>
  </si>
  <si>
    <t xml:space="preserve">The escalating importance of Environmental, Social, and Governance (ESG) performance in global value chains has intensified the need for credible sustainability verification. While 83% of Fortune 500 companies now disclose ESG reports, our analysis of 1495 A-share firms reveals alarming greenwashing prevalence - 92% of high-risk enterprises selectively omit material sustainability risks. This study addresses two critical gaps in ESG governance: (i) the lack of robust technical solutions for detecting sophisticated greenwashing tactics across multinational supply networks, and (ii) the absence of comprehensive datasets for systematic analysis. We present Agent-Greenwashing, a multi-agent LLM framework for comparing corporate ESG disclosures with negative news and regulatory records. Through simulated stakeholder dialogs (ESG auditors vs corporate communicators vs investigative journalists), our system achieves 96.67% detection accuracy - a 25.7% improvement over conventional methods. The framework’s innovation lies in its three-phase detection mechanism: semantic deconstruction (TF–IDF/BERTScore analysis), adversarial fact-checking (through multi-round agent debates), and dynamic risk quantification. Supporting this technical advancement, we contribute the first open-source ”Greenwashing-ESG Dataset” spanning 26 industries, containing 5031 reports with expert-validated annotations (κ[jls-end-space/]=0.85). To ensure methodological rigor, the study employs a tri-layered validation protocol combining algorithmic consensus, expert verification, and strict inter-rater reliability checks. Empirical results demonstrate significant negative correlation between ESG scores and greenwashing severity, providing quantifiable metrics for sustainable investment decisions. By open-sourcing models, codebase, and training architectures, the study offers a reproducible approach for AI-assisted ESG verification and provides empirical evidence on its usefulness in greenwashing detection. By enhancing semantic transparency and factual accuracy, this study not only addresses the root causes of greenwashing but also offers a viable technical solution for credible ESG verification, thereby promoting sustainable development and long-term value creation in global value chains. © 2026 Elsevier Inc. All rights are reserved, including those for text and data mining, AI training, and similar technologies.</t>
  </si>
  <si>
    <t xml:space="preserve">Zhu Y.</t>
  </si>
  <si>
    <t xml:space="preserve">LLMs for knowledge graph construction and reasoning: recent capabilities and future opportunities</t>
  </si>
  <si>
    <t xml:space="preserve">World Wide Web</t>
  </si>
  <si>
    <t xml:space="preserve">10.1007/s11280-024-01297-w</t>
  </si>
  <si>
    <t xml:space="preserve">This paper presents an exhaustive quantitative and qualitative evaluation of Large Language Models (LLMs) for Knowledge Graph (KG) construction and reasoning. We engage in experiments across eight diverse datasets, focusing on four representative tasks encompassing entity and relation extraction, event extraction, link prediction, and question-answering, thereby thoroughly exploring LLMs’ performance in the domain of construction and inference. Empirically, our findings suggest that LLMs, represented by GPT-4, are more suited as inference assistants rather than few-shot information extractors. Specifically, while GPT-4 exhibits good performance in tasks related to KG construction, it excels further in reasoning tasks, surpassing fine-tuned models in certain cases. Moreover, our investigation extends to the potential generalization ability of LLMs for information extraction, leading to the proposition of a Virtual Knowledge Extraction task and the development of the corresponding VINE dataset. Based on these empirical findings, we further propose AutoKG, a multi-agent-based approach employing LLMs and external sources for KG construction and reasoning. We anticipate that this research can provide invaluable insights for future undertakings in the field of knowledge graphs. © The Author(s), under exclusive licence to Springer Science+Business Media, LLC, part of Springer Nature 2024.</t>
  </si>
  <si>
    <t xml:space="preserve">AI proposed decision</t>
  </si>
  <si>
    <t xml:space="preserve">AI reason code</t>
  </si>
  <si>
    <t xml:space="preserve">AI tier proposal</t>
  </si>
  <si>
    <t xml:space="preserve">Rationale (from title/abstract/keywords)</t>
  </si>
  <si>
    <t xml:space="preserve">Information extraction from scientific papers (batteries). Multi-agent only in prompt refinement; check I4 at full text.</t>
  </si>
  <si>
    <t xml:space="preserve">Multi-agent LLM/VLM architecture for credibility (fake message) verification; multimodal - confirm text claims are central (I6).</t>
  </si>
  <si>
    <t xml:space="preserve">Healthcare chatbot plus a secondary validator agent (fact-check). Likely a single chatbot; check I4/I5 at full text.</t>
  </si>
  <si>
    <t xml:space="preserve">Multi-agent LLM triple extraction from assembly process texts.</t>
  </si>
  <si>
    <t xml:space="preserve">Multi-agent LLM fact verification of multilingual short-video news; Design Science Research. Check languages covered (tie-break 2).</t>
  </si>
  <si>
    <t xml:space="preserve">Nanopublication provenance model; no LLM component.</t>
  </si>
  <si>
    <t xml:space="preserve">LLM multi-agent with claim-level verification, but inputs are structured EHR fields (I6 risk).</t>
  </si>
  <si>
    <t xml:space="preserve">Literature review, not a multi-agent architecture.</t>
  </si>
  <si>
    <t xml:space="preserve">Multi-agent LLM zero-shot extraction from unstructured literature (livestock health).</t>
  </si>
  <si>
    <t xml:space="preserve">Dual-branch anomaly detector plus one constrained LLM agent over behavioral logs; no multi-agent architecture.</t>
  </si>
  <si>
    <t xml:space="preserve">Original-document language is Chinese (Scopus metadata).</t>
  </si>
  <si>
    <t xml:space="preserve">Agents exchange observations to optimise communication in a multi-agent system (reinforcement learning appears in the author keywords, not in the abstract); the LLM extracts semantic information from observation data, not from text documents or claims.</t>
  </si>
  <si>
    <t xml:space="preserve">Multi-LLM Delphi-style framework for fact verification; evidence mining from reports; transparency focus (tie-break 3).</t>
  </si>
  <si>
    <t xml:space="preserve">Two LLM agents (literature search, information extraction) on scientific literature.</t>
  </si>
  <si>
    <t xml:space="preserve">Multi-agent debate for fact verification; Vietnamese and multilingual X-Fact benchmarks (tie-break 2).</t>
  </si>
  <si>
    <t xml:space="preserve">Primary task is generating/calibrating energy models from drawings, specs and sensor data; extraction is an intermediate step.</t>
  </si>
  <si>
    <t xml:space="preserve">Single zero-shot framework for table-based verification; abstract contrasts itself with multi-agent pipelines (tabular data, I6 also at risk).</t>
  </si>
  <si>
    <t xml:space="preserve">Six-signal hallucination detector; abstract describes no interacting agents with distinct roles. LOW CONFIDENCE - verify.</t>
  </si>
  <si>
    <t xml:space="preserve">LLM agents that phrase queries, retrieve, decide and cite sources; includes low-resource languages. Check I4 (one agent vs several).</t>
  </si>
  <si>
    <t xml:space="preserve">Table reasoning over tabular data.</t>
  </si>
  <si>
    <t xml:space="preserve">Multi-agent orchestration with LLM-judge for extraction from ~10,000 full-text articles.</t>
  </si>
  <si>
    <t xml:space="preserve">Generates and debugs building energy models; extraction is a sub-step.</t>
  </si>
  <si>
    <t xml:space="preserve">Multi-agent extraction from scientific articles (text plus figures).</t>
  </si>
  <si>
    <t xml:space="preserve">Robot assembly planning and code generation.</t>
  </si>
  <si>
    <t xml:space="preserve">No DOI in Scopus record.</t>
  </si>
  <si>
    <t xml:space="preserve">Ontology-driven multi-agent debate for information extraction from cyber threat intelligence reports.</t>
  </si>
  <si>
    <t xml:space="preserve">Multi-agent LLM system with shared knowledge graph for news bias detection and fact-checking.</t>
  </si>
  <si>
    <t xml:space="preserve">Risk decision generation; entity extraction uses BERT-BiLSTM-CRF (not LLM).</t>
  </si>
  <si>
    <t xml:space="preserve">Multi-agent (information extraction and validation agents) but output is factuality-evaluation item generation; check I5. REVISED to Include after second review: I5 is met by the information-extraction agent; generating evaluation items does not exclude it.</t>
  </si>
  <si>
    <t xml:space="preserve">Design Science; LLM multi-agent IE architecture with evidence-linked indicators and extraction control (traceability).</t>
  </si>
  <si>
    <t xml:space="preserve">Role-based multi-agent debate for event causality identification (information extraction).</t>
  </si>
  <si>
    <t xml:space="preserve">Multi-agent debate with tool-augmented agents for fact verification.</t>
  </si>
  <si>
    <t xml:space="preserve">TIER 1 CANDIDATE: multi-agent IE on police/administrative traffic-accident reports. Verify full-text language (Chinese-language journal) and document type.</t>
  </si>
  <si>
    <t xml:space="preserve">RAG fact-checking with IFCN sources; multi-agent debate is an extension. Check I4; journalism/policy orientation. REVISED to Include after second review: criteria do not require the multi-agent design to be the paper's only architecture.</t>
  </si>
  <si>
    <t xml:space="preserve">Multimodal misinformation; multi-agent debate is one of several systems analysed. Check I4/I6. REVISED to Include after second review: I6 excludes only non-text-only input, not multimodal input that includes text claims.</t>
  </si>
  <si>
    <t xml:space="preserve">LLM multi-agent zero-shot stance detection on social media text. Source is an iConference issue of Information Research - check source type.</t>
  </si>
  <si>
    <t xml:space="preserve">TIER 1 CANDIDATE: multi-agent classification and extraction for administrative and scientific documents of a national research institute.</t>
  </si>
  <si>
    <t xml:space="preserve">Python package with a single interactive LLM agent for schema design; no multi-agent architecture.</t>
  </si>
  <si>
    <t xml:space="preserve">Multi-agent fact-checking with per-agent information sources and credibility scoring.</t>
  </si>
  <si>
    <t xml:space="preserve">Three-agent pipeline for claim credibility (tobacco misinformation) validated against experts.</t>
  </si>
  <si>
    <t xml:space="preserve">Multi-agent zero-shot multimodal IE; text is part of the input.</t>
  </si>
  <si>
    <t xml:space="preserve">Guided multi-agent debate with external knowledge for fact verification.</t>
  </si>
  <si>
    <t xml:space="preserve">TIER 1 CANDIDATE: multi-agent comparison of corporate ESG disclosures with news and regulatory records (verification).</t>
  </si>
  <si>
    <t xml:space="preserve">Evaluation of single LLMs for knowledge-graph construction; no multi-agent design.</t>
  </si>
  <si>
    <t xml:space="preserve">Human validation of AI screening</t>
  </si>
  <si>
    <t xml:space="preserve">Records screened by AI (all)</t>
  </si>
  <si>
    <t xml:space="preserve">Minimum human-validated (10% rule)</t>
  </si>
  <si>
    <t xml:space="preserve">Records in human validation sample</t>
  </si>
  <si>
    <t xml:space="preserve">Sample checked so far</t>
  </si>
  <si>
    <t xml:space="preserve">Agree</t>
  </si>
  <si>
    <t xml:space="preserve">Disagree</t>
  </si>
  <si>
    <t xml:space="preserve">Human-AI agreement on sample</t>
  </si>
  <si>
    <t xml:space="preserve">10% rule met?</t>
  </si>
  <si>
    <t xml:space="preserve">Sample = 5 records drawn at random with Python random.Random(seed 20261024) from IDs 1-44, plus record 18, which the AI flagged as low confidence. Disagreements are resolved in favour of the human reviewer. Cohen's kappa is not reported: the AI was the primary screener, not an independent second reviewer.</t>
  </si>
  <si>
    <t xml:space="preserve">PRISMA 2020 box</t>
  </si>
  <si>
    <t xml:space="preserve">n</t>
  </si>
  <si>
    <t xml:space="preserve">How it is computed / note</t>
  </si>
  <si>
    <t xml:space="preserve">IDENTIFICATION</t>
  </si>
  <si>
    <t xml:space="preserve">Records identified from databases (Scopus)</t>
  </si>
  <si>
    <t xml:space="preserve">Final search, iteration 3 (see Search log)</t>
  </si>
  <si>
    <t xml:space="preserve">Records removed before screening: duplicates</t>
  </si>
  <si>
    <t xml:space="preserve">Single database; typed input</t>
  </si>
  <si>
    <t xml:space="preserve">Records removed before screening: marked ineligible by automation tools</t>
  </si>
  <si>
    <t xml:space="preserve">None used; typed input</t>
  </si>
  <si>
    <t xml:space="preserve">Records removed before screening: other reasons</t>
  </si>
  <si>
    <t xml:space="preserve">None; typed input</t>
  </si>
  <si>
    <t xml:space="preserve">SCREENING (title/abstract)</t>
  </si>
  <si>
    <t xml:space="preserve">Records screened</t>
  </si>
  <si>
    <t xml:space="preserve">Identified minus removed</t>
  </si>
  <si>
    <t xml:space="preserve">Screening exclusion E1: not journal article / no DOI</t>
  </si>
  <si>
    <t xml:space="preserve">Screening exclusion E2: language</t>
  </si>
  <si>
    <t xml:space="preserve">Screening exclusion E3: not LLM-based</t>
  </si>
  <si>
    <t xml:space="preserve">Screening exclusion E4: not multi-agent</t>
  </si>
  <si>
    <t xml:space="preserve">Screening exclusion E5: no extraction/classification/verification</t>
  </si>
  <si>
    <t xml:space="preserve">Screening exclusion E6: out of domain</t>
  </si>
  <si>
    <t xml:space="preserve">Screening exclusion E9: eligible by abstract, not assessed (prioritised-reading cut)</t>
  </si>
  <si>
    <t xml:space="preserve">Declared deviation: full text assessed in fixed priority order (see Reading order)</t>
  </si>
  <si>
    <t xml:space="preserve">Records excluded at screening (total)</t>
  </si>
  <si>
    <t xml:space="preserve">PRISMA box 'Records excluded'</t>
  </si>
  <si>
    <t xml:space="preserve">Reports sought for retrieval</t>
  </si>
  <si>
    <t xml:space="preserve">Screened minus excluded</t>
  </si>
  <si>
    <t xml:space="preserve">Reports not retrieved</t>
  </si>
  <si>
    <t xml:space="preserve">Full-text decision = Not retrieved (E7)</t>
  </si>
  <si>
    <t xml:space="preserve">ELIGIBILITY (full text)</t>
  </si>
  <si>
    <t xml:space="preserve">Reports assessed for eligibility</t>
  </si>
  <si>
    <t xml:space="preserve">Sought minus not retrieved</t>
  </si>
  <si>
    <t xml:space="preserve">Full-text exclusion E1</t>
  </si>
  <si>
    <t xml:space="preserve">Full-text exclusion E2 language</t>
  </si>
  <si>
    <t xml:space="preserve">Full-text exclusion E3 not LLM-based</t>
  </si>
  <si>
    <t xml:space="preserve">Full-text exclusion E4 not multi-agent</t>
  </si>
  <si>
    <t xml:space="preserve">Full-text exclusion E5 no task</t>
  </si>
  <si>
    <t xml:space="preserve">Full-text exclusion E6 out of domain</t>
  </si>
  <si>
    <t xml:space="preserve">Full-text exclusion E8 duplicate</t>
  </si>
  <si>
    <t xml:space="preserve">Full-text exclusion E9: eligible, not selected (tie-break cut to 10)</t>
  </si>
  <si>
    <t xml:space="preserve">Explicit step from eligible to final 10</t>
  </si>
  <si>
    <t xml:space="preserve">Total reports excluded at full text</t>
  </si>
  <si>
    <t xml:space="preserve">INCLUDED</t>
  </si>
  <si>
    <t xml:space="preserve">Studies included in review</t>
  </si>
  <si>
    <t xml:space="preserve">Selected in top 10 = Yes</t>
  </si>
  <si>
    <t xml:space="preserve">CHECKS (all must say OK)</t>
  </si>
  <si>
    <t xml:space="preserve">Title/abstract decisions completed</t>
  </si>
  <si>
    <t xml:space="preserve">Every screening exclusion has a reason code</t>
  </si>
  <si>
    <t xml:space="preserve">Every full-text exclusion has a reason code</t>
  </si>
  <si>
    <t xml:space="preserve">Records marked Y in column V were not read (K empty)</t>
  </si>
  <si>
    <t xml:space="preserve">No record is still pending full text</t>
  </si>
  <si>
    <t xml:space="preserve">Every sought report needs Eligible / Exclude / Not retrieved</t>
  </si>
  <si>
    <t xml:space="preserve">Assessed - excluded = included</t>
  </si>
  <si>
    <t xml:space="preserve">Numbers must add up</t>
  </si>
  <si>
    <t xml:space="preserve">Whole funnel adds up</t>
  </si>
  <si>
    <t xml:space="preserve">Identified - removed - excluded - not retrieved - excluded(FT) = included</t>
  </si>
  <si>
    <t xml:space="preserve">Included equals 10</t>
  </si>
  <si>
    <t xml:space="preserve">Deliverable requires 10 papers</t>
  </si>
  <si>
    <t xml:space="preserve">Order</t>
  </si>
  <si>
    <t xml:space="preserve">Group</t>
  </si>
  <si>
    <t xml:space="preserve">Check at full text</t>
  </si>
  <si>
    <t xml:space="preserve">Done (Y)</t>
  </si>
  <si>
    <t xml:space="preserve">A</t>
  </si>
  <si>
    <r>
      <rPr>
        <sz val="11"/>
        <rFont val="Arial"/>
        <family val="0"/>
        <charset val="1"/>
      </rPr>
      <t xml:space="preserve">RCRQ: Multi-agent Information Extraction Framework for Traffic Accident Texts; [RCRQ:</t>
    </r>
    <r>
      <rPr>
        <sz val="11"/>
        <rFont val="Noto Sans CJK SC"/>
        <family val="2"/>
      </rPr>
      <t xml:space="preserve">面向交通事故文本的多智能体信息抽取框架</t>
    </r>
    <r>
      <rPr>
        <sz val="11"/>
        <rFont val="Arial"/>
        <family val="0"/>
        <charset val="1"/>
      </rPr>
      <t xml:space="preserve">]</t>
    </r>
  </si>
  <si>
    <t xml:space="preserve">Tier 1 candidates: full-text language (I2) and document types.</t>
  </si>
  <si>
    <t xml:space="preserve">B</t>
  </si>
  <si>
    <t xml:space="preserve">Tie-break contenders (context, traceability/governance): I2 language, I3 LLM, I4 interacting agents with distinct roles, I5 task on text.</t>
  </si>
  <si>
    <t xml:space="preserve">C</t>
  </si>
  <si>
    <t xml:space="preserve">Tier 2: same four checks.</t>
  </si>
  <si>
    <t xml:space="preserve">D</t>
  </si>
  <si>
    <t xml:space="preserve">Doubtful records, read only if still needed: the specific question from the screening note (I4/I5/I6).</t>
  </si>
  <si>
    <t xml:space="preserve">Rule: assess full texts in this fixed order. Stop when 10 papers are confirmed eligible (and all of group A and B have been assessed). Every unread record that was Include/Maybe at screening gets Y in column V of 'Screening (human)' (code E9, not assessed). This is a declared deviation adopted on 24 October 2026 because of the delivery deadline; it is reported as a limitation.</t>
  </si>
  <si>
    <t xml:space="preserve">Full text opened by Mayte (Y/N)</t>
  </si>
  <si>
    <t xml:space="preserve">Full-text language</t>
  </si>
  <si>
    <t xml:space="preserve">LLM(s) named in Methods</t>
  </si>
  <si>
    <t xml:space="preserve">Agents and their roles (as in the paper)</t>
  </si>
  <si>
    <t xml:space="preserve">Task on text (extract / classify / verify) and input documents</t>
  </si>
  <si>
    <t xml:space="preserve">Verbatim passage (max 2 lines, copied from the PDF)</t>
  </si>
  <si>
    <t xml:space="preserve">Page / section of the passage</t>
  </si>
  <si>
    <t xml:space="preserve">Date verified</t>
  </si>
  <si>
    <t xml:space="preserve">Rule: a record may be marked Eligible (column K) only if column F = Y and columns G-L are filled from the paper itself. Quotes must be copied from the PDF, not paraphrased or reconstructed. If the full text was not opened, K must stay empty (or Not retrieved), and the record cannot be one of the 10.</t>
  </si>
  <si>
    <t xml:space="preserve">Review basis / access</t>
  </si>
  <si>
    <t xml:space="preserve">Document types</t>
  </si>
  <si>
    <t xml:space="preserve">Decision / qualification</t>
  </si>
  <si>
    <t xml:space="preserve">Source / location</t>
  </si>
  <si>
    <t xml:space="preserve">Publisher article body inspected; eligibility accepted by Mayte</t>
  </si>
  <si>
    <t xml:space="preserve">Invoices; contracts; scientific articles; tender specifications; plagiarism reports; ISO procedures.</t>
  </si>
  <si>
    <t xml:space="preserve">K=Eligible; M=1 (numeric Tier 1 for existing formulas); N=N; O=Y. Institutional confidential documents, not a public-access corpus. Governance explicitly addresses permitted tools, prohibited data categories, authorizations, responsibilities and human approval. Governance discussion does not establish measured governance effectiveness.</t>
  </si>
  <si>
    <t xml:space="preserve">https://doi.org/10.3390/app16094562 ; sections 2.3, 3.1, 3.2; AI-use regulation discussion; Data Availability Statement.</t>
  </si>
  <si>
    <t xml:space="preserve">Publisher unavailable; catalogue abstract only; PDF not recovered</t>
  </si>
  <si>
    <t xml:space="preserve">Unverified; do not infer from bilingual title/abstract</t>
  </si>
  <si>
    <t xml:space="preserve">Autonomous-vehicle accident texts (abstract only). Exact source genres unverified.</t>
  </si>
  <si>
    <t xml:space="preserve">K/L unchanged. E2 requires confirmation of full-text language.</t>
  </si>
  <si>
    <t xml:space="preserve">https://fcst.ceaj.org/CN/10.3778/j.issn.1673-9418.2508069 ; https://opaj.napstic.cn/periodicalArticle/0120260501898998</t>
  </si>
  <si>
    <t xml:space="preserve">Publisher access blocked; no accessible full-text copy found</t>
  </si>
  <si>
    <t xml:space="preserve">Unverified from full text</t>
  </si>
  <si>
    <t xml:space="preserve">Corporate ESG disclosures contrasted with negative news and regulatory records (abstract only).</t>
  </si>
  <si>
    <t xml:space="preserve">K/L unchanged pending the user deadline: 24 October 2026, 21:00 America/Lima. If still not retrieved then, K=Not retrieved; L=E7.</t>
  </si>
  <si>
    <t xml:space="preserve">https://doi.org/10.1016/j.jbusres.2026.116242</t>
  </si>
  <si>
    <t xml:space="preserve">Publisher abstract retrieved; article marked open access, corrected proof; body/PDF not recovered</t>
  </si>
  <si>
    <t xml:space="preserve">Not yet verified from article body</t>
  </si>
  <si>
    <t xml:space="preserve">Textual claim verification on ViFactCheck, X-Fact and FEVER; precise evidence inputs require full text.</t>
  </si>
  <si>
    <t xml:space="preserve">No full-text eligibility entered. Benchmark languages must not be confused with article language.</t>
  </si>
  <si>
    <t xml:space="preserve">https://doi.org/10.1016/j.icte.2026.05.017</t>
  </si>
  <si>
    <t xml:space="preserve">Publisher abstract and author code repository inspected; article PDF not recovered</t>
  </si>
  <si>
    <t xml:space="preserve">Claims and raw reports used as evidence; RAWFC and LIAR-RAW benchmarks.</t>
  </si>
  <si>
    <t xml:space="preserve">No full-text eligibility entered. The author repository supports architecture details but is not a replacement for the published article.</t>
  </si>
  <si>
    <t xml:space="preserve">https://doi.org/10.1016/j.ipm.2025.104241 ; https://github.com/zjfgh2015/DelphiAgent</t>
  </si>
  <si>
    <t xml:space="preserve">Publisher full-text HTML inspected</t>
  </si>
  <si>
    <t xml:space="preserve">Project communication: emails, meeting minutes, issue trackers; architecture also admits external reports and cybersecurity alerts. Technical evaluation uses 150 synthetic case-grounded documents.</t>
  </si>
  <si>
    <t xml:space="preserve">AI recommendation: eligible under I1-I6; not entered as a human decision. Explicit evidence/provenance links and governance discussion. Quantitative results do not demonstrate generalizability to authentic communication. Tier requires consistent treatment of internal project administration.</t>
  </si>
  <si>
    <t xml:space="preserve">https://doi.org/10.1007/s12525-026-00928-6 ; Input Layer, Technical implementation, Technical evaluation, Discussion.</t>
  </si>
  <si>
    <t xml:space="preserve">Gap type</t>
  </si>
  <si>
    <t xml:space="preserve">Candidate gap (reviewer inference)</t>
  </si>
  <si>
    <t xml:space="preserve">Evidence from included/candidate article</t>
  </si>
  <si>
    <t xml:space="preserve">Scope qualification</t>
  </si>
  <si>
    <t xml:space="preserve">Citation / locator</t>
  </si>
  <si>
    <t xml:space="preserve">Methodological</t>
  </si>
  <si>
    <t xml:space="preserve">Evaluate extraction accuracy across administrative and legal document categories, not only scientific articles.</t>
  </si>
  <si>
    <t xml:space="preserve">Classification covers six document categories; quantitative extraction evaluation focuses on the Scientific Article pipeline.</t>
  </si>
  <si>
    <t xml:space="preserve">ID 37: Tier 1 by administrative/legal content; institutional confidential documents, not public-access documents. This is a limitation of this study, not proof of a field-wide absence.</t>
  </si>
  <si>
    <t xml:space="preserve">Iwaszenko et al. (2026), sections 3.1-3.2. https://doi.org/10.3390/app16094562</t>
  </si>
  <si>
    <t xml:space="preserve">Contextual</t>
  </si>
  <si>
    <t xml:space="preserve">Test transfer to public-access Peruvian documents in Spanish.</t>
  </si>
  <si>
    <t xml:space="preserve">The study uses institutional R&amp;D workflows and confidential operational documents.</t>
  </si>
  <si>
    <t xml:space="preserve">ID 37 supports a transfer question; it does not establish that no other study addresses Peru or Spanish.</t>
  </si>
  <si>
    <t xml:space="preserve">Iwaszenko et al. (2026), section 3.1 and Data Availability Statement. https://doi.org/10.3390/app16094562</t>
  </si>
  <si>
    <t xml:space="preserve">Validate extraction and provenance performance on authentic project/document corpora after controlled synthetic evaluation.</t>
  </si>
  <si>
    <t xml:space="preserve">Technical evaluation uses 150 synthetic case-grounded documents; the authors explicitly limit generalizability.</t>
  </si>
  <si>
    <t xml:space="preserve">ID 30 remains an AI-reviewed candidate; do not treat this row as a final synthesis inclusion.</t>
  </si>
  <si>
    <t xml:space="preserve">Paetzold et al. (2026), Technical evaluation and Discussion. https://doi.org/10.1007/s12525-026-00928-6</t>
  </si>
</sst>
</file>

<file path=xl/styles.xml><?xml version="1.0" encoding="utf-8"?>
<styleSheet xmlns="http://schemas.openxmlformats.org/spreadsheetml/2006/main">
  <numFmts count="3">
    <numFmt numFmtId="164" formatCode="General"/>
    <numFmt numFmtId="165" formatCode="0%"/>
    <numFmt numFmtId="166" formatCode="0.000"/>
  </numFmts>
  <fonts count="22">
    <font>
      <sz val="10"/>
      <name val="Arial"/>
      <family val="2"/>
      <charset val="1"/>
    </font>
    <font>
      <sz val="10"/>
      <name val="Arial"/>
      <family val="0"/>
    </font>
    <font>
      <sz val="10"/>
      <name val="Arial"/>
      <family val="0"/>
    </font>
    <font>
      <sz val="10"/>
      <name val="Arial"/>
      <family val="0"/>
    </font>
    <font>
      <sz val="11"/>
      <color theme="1"/>
      <name val="Calibri"/>
      <family val="2"/>
      <charset val="1"/>
    </font>
    <font>
      <b val="true"/>
      <sz val="12"/>
      <name val="Arial"/>
      <family val="0"/>
      <charset val="1"/>
    </font>
    <font>
      <sz val="10"/>
      <name val="Arial"/>
      <family val="0"/>
      <charset val="1"/>
    </font>
    <font>
      <b val="true"/>
      <sz val="10"/>
      <name val="Arial"/>
      <family val="0"/>
      <charset val="1"/>
    </font>
    <font>
      <b val="true"/>
      <sz val="11"/>
      <name val="Arial"/>
      <family val="0"/>
      <charset val="1"/>
    </font>
    <font>
      <sz val="11"/>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i val="true"/>
      <sz val="10"/>
      <name val="Arial"/>
      <family val="0"/>
      <charset val="1"/>
    </font>
    <font>
      <b val="true"/>
      <sz val="10"/>
      <color rgb="FF000000"/>
      <name val="Arial"/>
      <family val="0"/>
      <charset val="1"/>
    </font>
    <font>
      <b val="true"/>
      <sz val="11"/>
      <color rgb="FFFFFFFF"/>
      <name val="Arial"/>
      <family val="0"/>
      <charset val="1"/>
    </font>
    <font>
      <sz val="11"/>
      <color rgb="FF0000FF"/>
      <name val="Arial"/>
      <family val="0"/>
      <charset val="1"/>
    </font>
    <font>
      <sz val="10"/>
      <name val="Noto Sans CJK SC"/>
      <family val="2"/>
    </font>
    <font>
      <i val="true"/>
      <sz val="11"/>
      <name val="Arial"/>
      <family val="0"/>
      <charset val="1"/>
    </font>
    <font>
      <sz val="11"/>
      <name val="Noto Sans CJK SC"/>
      <family val="2"/>
    </font>
    <font>
      <b val="true"/>
      <sz val="11"/>
      <color rgb="FFFFFFFF"/>
      <name val="Arial"/>
      <family val="2"/>
      <charset val="1"/>
    </font>
    <font>
      <sz val="11"/>
      <color theme="1"/>
      <name val="Arial"/>
      <family val="2"/>
      <charset val="1"/>
    </font>
  </fonts>
  <fills count="5">
    <fill>
      <patternFill patternType="none"/>
    </fill>
    <fill>
      <patternFill patternType="gray125"/>
    </fill>
    <fill>
      <patternFill patternType="solid">
        <fgColor rgb="FF1F3864"/>
        <bgColor rgb="FF203864"/>
      </patternFill>
    </fill>
    <fill>
      <patternFill patternType="solid">
        <fgColor rgb="FFFFF2CC"/>
        <bgColor rgb="FFFFFFFF"/>
      </patternFill>
    </fill>
    <fill>
      <patternFill patternType="solid">
        <fgColor rgb="FF203864"/>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6" fillId="3"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5" fillId="2" borderId="1" xfId="0" applyFont="true" applyBorder="tru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20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23.25" hidden="false" customHeight="true" outlineLevel="0" collapsed="false">
      <c r="A9" s="3" t="s">
        <v>7</v>
      </c>
    </row>
    <row r="10" customFormat="false" ht="15" hidden="false" customHeight="true" outlineLevel="0" collapsed="false">
      <c r="A10" s="3" t="s">
        <v>8</v>
      </c>
    </row>
    <row r="11" customFormat="false" ht="15" hidden="false" customHeight="true" outlineLevel="0" collapsed="false">
      <c r="A11" s="3"/>
    </row>
    <row r="12" customFormat="false" ht="15" hidden="false" customHeight="true" outlineLevel="0" collapsed="false">
      <c r="A12" s="4" t="s">
        <v>9</v>
      </c>
    </row>
    <row r="13" customFormat="false" ht="34.5" hidden="false" customHeight="true" outlineLevel="0" collapsed="false">
      <c r="A13" s="3" t="s">
        <v>10</v>
      </c>
    </row>
    <row r="14" customFormat="false" ht="23.25" hidden="false" customHeight="true" outlineLevel="0" collapsed="false">
      <c r="A14" s="3" t="s">
        <v>11</v>
      </c>
    </row>
    <row r="15" customFormat="false" ht="15" hidden="false" customHeight="true" outlineLevel="0" collapsed="false">
      <c r="A15" s="3"/>
    </row>
    <row r="16" customFormat="false" ht="15" hidden="false" customHeight="true" outlineLevel="0" collapsed="false">
      <c r="A16" s="4" t="s">
        <v>12</v>
      </c>
    </row>
    <row r="17" customFormat="false" ht="15" hidden="false" customHeight="true" outlineLevel="0" collapsed="false">
      <c r="A17" s="3" t="s">
        <v>13</v>
      </c>
    </row>
    <row r="18" customFormat="false" ht="15" hidden="false" customHeight="true" outlineLevel="0" collapsed="false">
      <c r="A18" s="3" t="s">
        <v>14</v>
      </c>
    </row>
    <row r="19" customFormat="false" ht="23.25" hidden="false" customHeight="true" outlineLevel="0" collapsed="false">
      <c r="A19" s="3" t="s">
        <v>15</v>
      </c>
    </row>
    <row r="20" customFormat="false" ht="15" hidden="false" customHeight="true" outlineLevel="0" collapsed="false">
      <c r="A20" s="3" t="s">
        <v>16</v>
      </c>
    </row>
    <row r="22" customFormat="false" ht="15" hidden="false" customHeight="true" outlineLevel="0" collapsed="false">
      <c r="A22" s="5" t="s">
        <v>17</v>
      </c>
    </row>
    <row r="23" customFormat="false" ht="39" hidden="false" customHeight="true" outlineLevel="0" collapsed="false">
      <c r="A23" s="6" t="s">
        <v>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3"/>
    <col collapsed="false" customWidth="true" hidden="false" outlineLevel="0" max="4" min="4" style="1" width="42"/>
    <col collapsed="false" customWidth="true" hidden="false" outlineLevel="0" max="5" min="5" style="1" width="24"/>
    <col collapsed="false" customWidth="true" hidden="false" outlineLevel="0" max="6" min="6" style="1" width="12"/>
    <col collapsed="false" customWidth="true" hidden="false" outlineLevel="0" max="7" min="7" style="1" width="110"/>
  </cols>
  <sheetData>
    <row r="1" customFormat="false" ht="15" hidden="false" customHeight="true" outlineLevel="0" collapsed="false">
      <c r="A1" s="7" t="s">
        <v>19</v>
      </c>
      <c r="B1" s="7" t="s">
        <v>20</v>
      </c>
      <c r="C1" s="7" t="s">
        <v>21</v>
      </c>
      <c r="D1" s="7" t="s">
        <v>22</v>
      </c>
      <c r="E1" s="7" t="s">
        <v>23</v>
      </c>
      <c r="F1" s="7" t="s">
        <v>24</v>
      </c>
      <c r="G1" s="7" t="s">
        <v>25</v>
      </c>
    </row>
    <row r="2" customFormat="false" ht="45.75" hidden="false" customHeight="true" outlineLevel="0" collapsed="false">
      <c r="A2" s="8" t="n">
        <v>1</v>
      </c>
      <c r="B2" s="8" t="s">
        <v>26</v>
      </c>
      <c r="C2" s="8" t="s">
        <v>27</v>
      </c>
      <c r="D2" s="8" t="s">
        <v>28</v>
      </c>
      <c r="E2" s="8" t="s">
        <v>29</v>
      </c>
      <c r="F2" s="9" t="n">
        <v>0</v>
      </c>
      <c r="G2" s="8" t="s">
        <v>30</v>
      </c>
    </row>
    <row r="3" customFormat="false" ht="23.25" hidden="false" customHeight="true" outlineLevel="0" collapsed="false">
      <c r="A3" s="8" t="n">
        <v>2</v>
      </c>
      <c r="B3" s="8" t="s">
        <v>26</v>
      </c>
      <c r="C3" s="8" t="s">
        <v>27</v>
      </c>
      <c r="D3" s="8" t="s">
        <v>31</v>
      </c>
      <c r="E3" s="8" t="s">
        <v>29</v>
      </c>
      <c r="F3" s="9" t="n">
        <v>72</v>
      </c>
      <c r="G3" s="8" t="s">
        <v>32</v>
      </c>
    </row>
    <row r="4" customFormat="false" ht="34.5" hidden="false" customHeight="true" outlineLevel="0" collapsed="false">
      <c r="A4" s="8" t="n">
        <v>3</v>
      </c>
      <c r="B4" s="8" t="s">
        <v>26</v>
      </c>
      <c r="C4" s="8" t="s">
        <v>27</v>
      </c>
      <c r="D4" s="8" t="s">
        <v>33</v>
      </c>
      <c r="E4" s="8" t="s">
        <v>34</v>
      </c>
      <c r="F4" s="9" t="n">
        <v>44</v>
      </c>
      <c r="G4" s="8" t="s">
        <v>35</v>
      </c>
    </row>
    <row r="6" customFormat="false" ht="31.5" hidden="false" customHeight="true" outlineLevel="0" collapsed="false">
      <c r="A6" s="10" t="s">
        <v>36</v>
      </c>
      <c r="B6" s="10"/>
      <c r="C6" s="10"/>
      <c r="D6" s="10"/>
      <c r="E6" s="10"/>
      <c r="F6" s="10"/>
      <c r="G6" s="10"/>
    </row>
  </sheetData>
  <mergeCells count="1">
    <mergeCell ref="A6:G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20"/>
  </cols>
  <sheetData>
    <row r="1" customFormat="false" ht="15" hidden="false" customHeight="true" outlineLevel="0" collapsed="false">
      <c r="A1" s="11" t="s">
        <v>37</v>
      </c>
      <c r="B1" s="12"/>
    </row>
    <row r="2" customFormat="false" ht="15" hidden="false" customHeight="true" outlineLevel="0" collapsed="false">
      <c r="A2" s="13" t="s">
        <v>38</v>
      </c>
      <c r="B2" s="3" t="s">
        <v>39</v>
      </c>
    </row>
    <row r="3" customFormat="false" ht="15" hidden="false" customHeight="true" outlineLevel="0" collapsed="false">
      <c r="A3" s="13" t="s">
        <v>40</v>
      </c>
      <c r="B3" s="3" t="s">
        <v>41</v>
      </c>
    </row>
    <row r="4" customFormat="false" ht="15" hidden="false" customHeight="true" outlineLevel="0" collapsed="false">
      <c r="A4" s="13" t="s">
        <v>42</v>
      </c>
      <c r="B4" s="3" t="s">
        <v>43</v>
      </c>
    </row>
    <row r="5" customFormat="false" ht="15" hidden="false" customHeight="true" outlineLevel="0" collapsed="false">
      <c r="A5" s="13" t="s">
        <v>44</v>
      </c>
      <c r="B5" s="3" t="s">
        <v>45</v>
      </c>
    </row>
    <row r="6" customFormat="false" ht="15" hidden="false" customHeight="true" outlineLevel="0" collapsed="false">
      <c r="A6" s="13" t="s">
        <v>46</v>
      </c>
      <c r="B6" s="3" t="s">
        <v>47</v>
      </c>
    </row>
    <row r="7" customFormat="false" ht="15" hidden="false" customHeight="true" outlineLevel="0" collapsed="false">
      <c r="A7" s="13" t="s">
        <v>48</v>
      </c>
      <c r="B7" s="3" t="s">
        <v>49</v>
      </c>
    </row>
    <row r="8" customFormat="false" ht="15" hidden="false" customHeight="true" outlineLevel="0" collapsed="false">
      <c r="A8" s="11" t="s">
        <v>50</v>
      </c>
      <c r="B8" s="12"/>
    </row>
    <row r="9" customFormat="false" ht="15" hidden="false" customHeight="true" outlineLevel="0" collapsed="false">
      <c r="A9" s="13" t="s">
        <v>51</v>
      </c>
      <c r="B9" s="3" t="s">
        <v>52</v>
      </c>
    </row>
    <row r="10" customFormat="false" ht="15" hidden="false" customHeight="true" outlineLevel="0" collapsed="false">
      <c r="A10" s="13" t="s">
        <v>53</v>
      </c>
      <c r="B10" s="3" t="s">
        <v>54</v>
      </c>
    </row>
    <row r="11" customFormat="false" ht="23.25" hidden="false" customHeight="true" outlineLevel="0" collapsed="false">
      <c r="A11" s="13" t="s">
        <v>55</v>
      </c>
      <c r="B11" s="3" t="s">
        <v>56</v>
      </c>
    </row>
    <row r="12" customFormat="false" ht="15" hidden="false" customHeight="true" outlineLevel="0" collapsed="false">
      <c r="A12" s="11" t="s">
        <v>57</v>
      </c>
      <c r="B12" s="12"/>
    </row>
    <row r="13" customFormat="false" ht="15" hidden="false" customHeight="true" outlineLevel="0" collapsed="false">
      <c r="A13" s="13" t="s">
        <v>58</v>
      </c>
      <c r="B13" s="3" t="s">
        <v>59</v>
      </c>
    </row>
    <row r="14" customFormat="false" ht="15" hidden="false" customHeight="true" outlineLevel="0" collapsed="false">
      <c r="A14" s="13" t="s">
        <v>60</v>
      </c>
      <c r="B14" s="3" t="s">
        <v>61</v>
      </c>
    </row>
    <row r="15" customFormat="false" ht="15" hidden="false" customHeight="true" outlineLevel="0" collapsed="false">
      <c r="A15" s="13" t="s">
        <v>62</v>
      </c>
      <c r="B15" s="3" t="s">
        <v>63</v>
      </c>
    </row>
    <row r="16" customFormat="false" ht="15" hidden="false" customHeight="true" outlineLevel="0" collapsed="false">
      <c r="A16" s="13" t="s">
        <v>64</v>
      </c>
      <c r="B16" s="3" t="s">
        <v>65</v>
      </c>
    </row>
    <row r="17" customFormat="false" ht="15" hidden="false" customHeight="true" outlineLevel="0" collapsed="false">
      <c r="A17" s="13" t="s">
        <v>66</v>
      </c>
      <c r="B17" s="3" t="s">
        <v>67</v>
      </c>
    </row>
    <row r="18" customFormat="false" ht="15" hidden="false" customHeight="true" outlineLevel="0" collapsed="false">
      <c r="A18" s="13" t="s">
        <v>68</v>
      </c>
      <c r="B18" s="3" t="s">
        <v>69</v>
      </c>
    </row>
    <row r="19" customFormat="false" ht="15" hidden="false" customHeight="true" outlineLevel="0" collapsed="false">
      <c r="A19" s="13" t="s">
        <v>70</v>
      </c>
      <c r="B19" s="3" t="s">
        <v>71</v>
      </c>
    </row>
    <row r="20" customFormat="false" ht="15" hidden="false" customHeight="true" outlineLevel="0" collapsed="false">
      <c r="A20" s="13" t="s">
        <v>72</v>
      </c>
      <c r="B20" s="3" t="s">
        <v>73</v>
      </c>
    </row>
    <row r="21" customFormat="false" ht="15" hidden="false" customHeight="true" outlineLevel="0" collapsed="false">
      <c r="A21" s="13" t="s">
        <v>74</v>
      </c>
      <c r="B21" s="3" t="s">
        <v>75</v>
      </c>
    </row>
    <row r="22" customFormat="false" ht="15" hidden="false" customHeight="true" outlineLevel="0" collapsed="false">
      <c r="A22" s="13" t="s">
        <v>76</v>
      </c>
      <c r="B22" s="3" t="s">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6"/>
    <col collapsed="false" customWidth="true" hidden="false" outlineLevel="0" max="4" min="4" style="1" width="40"/>
    <col collapsed="false" customWidth="true" hidden="false" outlineLevel="0" max="6" min="5" style="1" width="24"/>
    <col collapsed="false" customWidth="true" hidden="false" outlineLevel="0" max="7" min="7" style="1" width="10"/>
    <col collapsed="false" customWidth="true" hidden="false" outlineLevel="0" max="8" min="8" style="1" width="80"/>
    <col collapsed="false" customWidth="true" hidden="false" outlineLevel="0" max="9" min="9" style="1" width="18"/>
    <col collapsed="false" customWidth="true" hidden="false" outlineLevel="0" max="10" min="10" style="1" width="12"/>
    <col collapsed="false" customWidth="true" hidden="false" outlineLevel="0" max="11" min="11" style="1" width="18"/>
    <col collapsed="false" customWidth="true" hidden="false" outlineLevel="0" max="12" min="12" style="1" width="12"/>
    <col collapsed="false" customWidth="true" hidden="false" outlineLevel="0" max="13" min="13" style="1" width="8"/>
    <col collapsed="false" customWidth="true" hidden="false" outlineLevel="0" max="15" min="14" style="1" width="14"/>
    <col collapsed="false" customWidth="true" hidden="false" outlineLevel="0" max="16" min="16" style="1" width="10"/>
    <col collapsed="false" customWidth="true" hidden="false" outlineLevel="0" max="17" min="17" style="1" width="7"/>
    <col collapsed="false" customWidth="true" hidden="false" outlineLevel="0" max="18" min="18" style="1" width="12"/>
    <col collapsed="false" customWidth="true" hidden="false" outlineLevel="0" max="19" min="19" style="1" width="26"/>
    <col collapsed="false" customWidth="true" hidden="false" outlineLevel="0" max="20" min="20" style="1" width="12"/>
    <col collapsed="false" customWidth="true" hidden="false" outlineLevel="0" max="21" min="21" style="1" width="16"/>
    <col collapsed="false" customWidth="true" hidden="false" outlineLevel="0" max="22" min="22" style="14" width="24"/>
  </cols>
  <sheetData>
    <row r="1" customFormat="false" ht="61.5" hidden="false" customHeight="true" outlineLevel="0" collapsed="false">
      <c r="A1" s="7" t="s">
        <v>78</v>
      </c>
      <c r="B1" s="7" t="s">
        <v>79</v>
      </c>
      <c r="C1" s="7" t="s">
        <v>80</v>
      </c>
      <c r="D1" s="7" t="s">
        <v>81</v>
      </c>
      <c r="E1" s="7" t="s">
        <v>82</v>
      </c>
      <c r="F1" s="7" t="s">
        <v>83</v>
      </c>
      <c r="G1" s="7" t="s">
        <v>84</v>
      </c>
      <c r="H1" s="7" t="s">
        <v>85</v>
      </c>
      <c r="I1" s="7" t="s">
        <v>86</v>
      </c>
      <c r="J1" s="7" t="s">
        <v>87</v>
      </c>
      <c r="K1" s="7" t="s">
        <v>88</v>
      </c>
      <c r="L1" s="7" t="s">
        <v>89</v>
      </c>
      <c r="M1" s="7" t="s">
        <v>90</v>
      </c>
      <c r="N1" s="7" t="s">
        <v>91</v>
      </c>
      <c r="O1" s="7" t="s">
        <v>92</v>
      </c>
      <c r="P1" s="7" t="s">
        <v>93</v>
      </c>
      <c r="Q1" s="7" t="s">
        <v>94</v>
      </c>
      <c r="R1" s="7" t="s">
        <v>95</v>
      </c>
      <c r="S1" s="7" t="s">
        <v>96</v>
      </c>
      <c r="T1" s="15" t="s">
        <v>97</v>
      </c>
      <c r="U1" s="15" t="s">
        <v>98</v>
      </c>
      <c r="V1" s="15" t="s">
        <v>99</v>
      </c>
    </row>
    <row r="2" customFormat="false" ht="165" hidden="false" customHeight="true" outlineLevel="0" collapsed="false">
      <c r="A2" s="16" t="n">
        <v>1</v>
      </c>
      <c r="B2" s="16" t="s">
        <v>100</v>
      </c>
      <c r="C2" s="16" t="n">
        <v>2026</v>
      </c>
      <c r="D2" s="16" t="s">
        <v>101</v>
      </c>
      <c r="E2" s="16" t="s">
        <v>102</v>
      </c>
      <c r="F2" s="16" t="s">
        <v>103</v>
      </c>
      <c r="G2" s="16" t="s">
        <v>104</v>
      </c>
      <c r="H2" s="16" t="s">
        <v>105</v>
      </c>
      <c r="I2" s="17" t="s">
        <v>106</v>
      </c>
      <c r="J2" s="17"/>
      <c r="K2" s="17"/>
      <c r="L2" s="17"/>
      <c r="M2" s="17"/>
      <c r="N2" s="17"/>
      <c r="O2" s="17"/>
      <c r="P2" s="16" t="str">
        <f aca="false">IF(K2="Eligible",IF(M2=1,1000,0)+IF(N2="Y",100,0)+IF(O2="Y",10,0)+(C2-2019)/10,"")</f>
        <v/>
      </c>
      <c r="Q2" s="16" t="str">
        <f aca="false">IF(P2="","",RANK(P2,$P$2:$P$45))</f>
        <v/>
      </c>
      <c r="R2" s="18"/>
      <c r="S2" s="16" t="str">
        <f aca="false">IF(I2="","Pending",IF(I2="Exclude","Excluded at title/abstract",IF(V2="Y","Excluded: eligible by abstract, not assessed (E9)",IF(K2="","Pending full text",IF(K2="Exclude","Excluded at full text",IF(K2="Not retrieved","Not retrieved",IF(R2="Yes","Included",IF(R2="No","Excluded: eligible, not selected (E9)","Eligible - pending selection"))))))))</f>
        <v>Pending full text</v>
      </c>
      <c r="T2" s="19"/>
      <c r="U2" s="20"/>
      <c r="V2" s="21"/>
    </row>
    <row r="3" customFormat="false" ht="165" hidden="false" customHeight="true" outlineLevel="0" collapsed="false">
      <c r="A3" s="16" t="n">
        <v>2</v>
      </c>
      <c r="B3" s="16" t="s">
        <v>107</v>
      </c>
      <c r="C3" s="16" t="n">
        <v>2025</v>
      </c>
      <c r="D3" s="16" t="s">
        <v>108</v>
      </c>
      <c r="E3" s="16" t="s">
        <v>109</v>
      </c>
      <c r="F3" s="16" t="s">
        <v>110</v>
      </c>
      <c r="G3" s="16" t="s">
        <v>104</v>
      </c>
      <c r="H3" s="16" t="s">
        <v>111</v>
      </c>
      <c r="I3" s="17" t="s">
        <v>112</v>
      </c>
      <c r="J3" s="17"/>
      <c r="K3" s="17"/>
      <c r="L3" s="17"/>
      <c r="M3" s="17"/>
      <c r="N3" s="17"/>
      <c r="O3" s="17"/>
      <c r="P3" s="16" t="str">
        <f aca="false">IF(K3="Eligible",IF(M3=1,1000,0)+IF(N3="Y",100,0)+IF(O3="Y",10,0)+(C3-2019)/10,"")</f>
        <v/>
      </c>
      <c r="Q3" s="16" t="str">
        <f aca="false">IF(P3="","",RANK(P3,$P$2:$P$45))</f>
        <v/>
      </c>
      <c r="R3" s="18"/>
      <c r="S3" s="16" t="str">
        <f aca="false">IF(I3="","Pending",IF(I3="Exclude","Excluded at title/abstract",IF(V3="Y","Excluded: eligible by abstract, not assessed (E9)",IF(K3="","Pending full text",IF(K3="Exclude","Excluded at full text",IF(K3="Not retrieved","Not retrieved",IF(R3="Yes","Included",IF(R3="No","Excluded: eligible, not selected (E9)","Eligible - pending selection"))))))))</f>
        <v>Pending full text</v>
      </c>
      <c r="T3" s="19"/>
      <c r="U3" s="20"/>
      <c r="V3" s="21"/>
    </row>
    <row r="4" customFormat="false" ht="165" hidden="false" customHeight="true" outlineLevel="0" collapsed="false">
      <c r="A4" s="16" t="n">
        <v>3</v>
      </c>
      <c r="B4" s="16" t="s">
        <v>113</v>
      </c>
      <c r="C4" s="16" t="n">
        <v>2024</v>
      </c>
      <c r="D4" s="16" t="s">
        <v>114</v>
      </c>
      <c r="E4" s="16" t="s">
        <v>115</v>
      </c>
      <c r="F4" s="16" t="s">
        <v>116</v>
      </c>
      <c r="G4" s="16" t="s">
        <v>104</v>
      </c>
      <c r="H4" s="16" t="s">
        <v>117</v>
      </c>
      <c r="I4" s="17" t="s">
        <v>106</v>
      </c>
      <c r="J4" s="17"/>
      <c r="K4" s="17"/>
      <c r="L4" s="17"/>
      <c r="M4" s="17"/>
      <c r="N4" s="17"/>
      <c r="O4" s="17"/>
      <c r="P4" s="16" t="str">
        <f aca="false">IF(K4="Eligible",IF(M4=1,1000,0)+IF(N4="Y",100,0)+IF(O4="Y",10,0)+(C4-2019)/10,"")</f>
        <v/>
      </c>
      <c r="Q4" s="16" t="str">
        <f aca="false">IF(P4="","",RANK(P4,$P$2:$P$45))</f>
        <v/>
      </c>
      <c r="R4" s="18"/>
      <c r="S4" s="16" t="str">
        <f aca="false">IF(I4="","Pending",IF(I4="Exclude","Excluded at title/abstract",IF(V4="Y","Excluded: eligible by abstract, not assessed (E9)",IF(K4="","Pending full text",IF(K4="Exclude","Excluded at full text",IF(K4="Not retrieved","Not retrieved",IF(R4="Yes","Included",IF(R4="No","Excluded: eligible, not selected (E9)","Eligible - pending selection"))))))))</f>
        <v>Pending full text</v>
      </c>
      <c r="T4" s="19"/>
      <c r="U4" s="20"/>
      <c r="V4" s="21"/>
    </row>
    <row r="5" customFormat="false" ht="165" hidden="false" customHeight="true" outlineLevel="0" collapsed="false">
      <c r="A5" s="16" t="n">
        <v>4</v>
      </c>
      <c r="B5" s="16" t="s">
        <v>118</v>
      </c>
      <c r="C5" s="16" t="n">
        <v>2026</v>
      </c>
      <c r="D5" s="16" t="s">
        <v>119</v>
      </c>
      <c r="E5" s="16" t="s">
        <v>120</v>
      </c>
      <c r="F5" s="16" t="s">
        <v>121</v>
      </c>
      <c r="G5" s="16" t="s">
        <v>104</v>
      </c>
      <c r="H5" s="16" t="s">
        <v>122</v>
      </c>
      <c r="I5" s="17" t="s">
        <v>112</v>
      </c>
      <c r="J5" s="17"/>
      <c r="K5" s="17"/>
      <c r="L5" s="17"/>
      <c r="M5" s="17"/>
      <c r="N5" s="17"/>
      <c r="O5" s="17"/>
      <c r="P5" s="16" t="str">
        <f aca="false">IF(K5="Eligible",IF(M5=1,1000,0)+IF(N5="Y",100,0)+IF(O5="Y",10,0)+(C5-2019)/10,"")</f>
        <v/>
      </c>
      <c r="Q5" s="16" t="str">
        <f aca="false">IF(P5="","",RANK(P5,$P$2:$P$45))</f>
        <v/>
      </c>
      <c r="R5" s="18"/>
      <c r="S5" s="16" t="str">
        <f aca="false">IF(I5="","Pending",IF(I5="Exclude","Excluded at title/abstract",IF(V5="Y","Excluded: eligible by abstract, not assessed (E9)",IF(K5="","Pending full text",IF(K5="Exclude","Excluded at full text",IF(K5="Not retrieved","Not retrieved",IF(R5="Yes","Included",IF(R5="No","Excluded: eligible, not selected (E9)","Eligible - pending selection"))))))))</f>
        <v>Pending full text</v>
      </c>
      <c r="T5" s="19"/>
      <c r="U5" s="20"/>
      <c r="V5" s="21"/>
    </row>
    <row r="6" customFormat="false" ht="165" hidden="false" customHeight="true" outlineLevel="0" collapsed="false">
      <c r="A6" s="16" t="n">
        <v>5</v>
      </c>
      <c r="B6" s="16" t="s">
        <v>123</v>
      </c>
      <c r="C6" s="16" t="n">
        <v>2026</v>
      </c>
      <c r="D6" s="16" t="s">
        <v>124</v>
      </c>
      <c r="E6" s="16" t="s">
        <v>125</v>
      </c>
      <c r="F6" s="16" t="s">
        <v>126</v>
      </c>
      <c r="G6" s="16" t="s">
        <v>104</v>
      </c>
      <c r="H6" s="16" t="s">
        <v>127</v>
      </c>
      <c r="I6" s="17" t="s">
        <v>112</v>
      </c>
      <c r="J6" s="17"/>
      <c r="K6" s="17"/>
      <c r="L6" s="17"/>
      <c r="M6" s="17"/>
      <c r="N6" s="17"/>
      <c r="O6" s="17"/>
      <c r="P6" s="16" t="str">
        <f aca="false">IF(K6="Eligible",IF(M6=1,1000,0)+IF(N6="Y",100,0)+IF(O6="Y",10,0)+(C6-2019)/10,"")</f>
        <v/>
      </c>
      <c r="Q6" s="16" t="str">
        <f aca="false">IF(P6="","",RANK(P6,$P$2:$P$45))</f>
        <v/>
      </c>
      <c r="R6" s="18"/>
      <c r="S6" s="16" t="str">
        <f aca="false">IF(I6="","Pending",IF(I6="Exclude","Excluded at title/abstract",IF(V6="Y","Excluded: eligible by abstract, not assessed (E9)",IF(K6="","Pending full text",IF(K6="Exclude","Excluded at full text",IF(K6="Not retrieved","Not retrieved",IF(R6="Yes","Included",IF(R6="No","Excluded: eligible, not selected (E9)","Eligible - pending selection"))))))))</f>
        <v>Pending full text</v>
      </c>
      <c r="T6" s="19" t="s">
        <v>128</v>
      </c>
      <c r="U6" s="21"/>
      <c r="V6" s="21"/>
    </row>
    <row r="7" customFormat="false" ht="165" hidden="false" customHeight="true" outlineLevel="0" collapsed="false">
      <c r="A7" s="16" t="n">
        <v>6</v>
      </c>
      <c r="B7" s="16" t="s">
        <v>129</v>
      </c>
      <c r="C7" s="16" t="n">
        <v>2025</v>
      </c>
      <c r="D7" s="16" t="s">
        <v>130</v>
      </c>
      <c r="E7" s="16" t="s">
        <v>131</v>
      </c>
      <c r="F7" s="16" t="s">
        <v>132</v>
      </c>
      <c r="G7" s="16" t="s">
        <v>104</v>
      </c>
      <c r="H7" s="16" t="s">
        <v>133</v>
      </c>
      <c r="I7" s="17" t="s">
        <v>134</v>
      </c>
      <c r="J7" s="17" t="s">
        <v>62</v>
      </c>
      <c r="K7" s="17"/>
      <c r="L7" s="17"/>
      <c r="M7" s="17"/>
      <c r="N7" s="17"/>
      <c r="O7" s="17"/>
      <c r="P7" s="16" t="str">
        <f aca="false">IF(K7="Eligible",IF(M7=1,1000,0)+IF(N7="Y",100,0)+IF(O7="Y",10,0)+(C7-2019)/10,"")</f>
        <v/>
      </c>
      <c r="Q7" s="16" t="str">
        <f aca="false">IF(P7="","",RANK(P7,$P$2:$P$45))</f>
        <v/>
      </c>
      <c r="R7" s="18"/>
      <c r="S7" s="16" t="str">
        <f aca="false">IF(I7="","Pending",IF(I7="Exclude","Excluded at title/abstract",IF(V7="Y","Excluded: eligible by abstract, not assessed (E9)",IF(K7="","Pending full text",IF(K7="Exclude","Excluded at full text",IF(K7="Not retrieved","Not retrieved",IF(R7="Yes","Included",IF(R7="No","Excluded: eligible, not selected (E9)","Eligible - pending selection"))))))))</f>
        <v>Excluded at title/abstract</v>
      </c>
      <c r="T7" s="19"/>
      <c r="U7" s="20"/>
      <c r="V7" s="21"/>
    </row>
    <row r="8" customFormat="false" ht="165" hidden="false" customHeight="true" outlineLevel="0" collapsed="false">
      <c r="A8" s="16" t="n">
        <v>7</v>
      </c>
      <c r="B8" s="16" t="s">
        <v>135</v>
      </c>
      <c r="C8" s="16" t="n">
        <v>2026</v>
      </c>
      <c r="D8" s="16" t="s">
        <v>136</v>
      </c>
      <c r="E8" s="16" t="s">
        <v>137</v>
      </c>
      <c r="F8" s="16" t="s">
        <v>138</v>
      </c>
      <c r="G8" s="16" t="s">
        <v>104</v>
      </c>
      <c r="H8" s="16" t="s">
        <v>139</v>
      </c>
      <c r="I8" s="17" t="s">
        <v>106</v>
      </c>
      <c r="J8" s="17"/>
      <c r="K8" s="17"/>
      <c r="L8" s="17"/>
      <c r="M8" s="17"/>
      <c r="N8" s="17"/>
      <c r="O8" s="17"/>
      <c r="P8" s="16" t="str">
        <f aca="false">IF(K8="Eligible",IF(M8=1,1000,0)+IF(N8="Y",100,0)+IF(O8="Y",10,0)+(C8-2019)/10,"")</f>
        <v/>
      </c>
      <c r="Q8" s="16" t="str">
        <f aca="false">IF(P8="","",RANK(P8,$P$2:$P$45))</f>
        <v/>
      </c>
      <c r="R8" s="18"/>
      <c r="S8" s="16" t="str">
        <f aca="false">IF(I8="","Pending",IF(I8="Exclude","Excluded at title/abstract",IF(V8="Y","Excluded: eligible by abstract, not assessed (E9)",IF(K8="","Pending full text",IF(K8="Exclude","Excluded at full text",IF(K8="Not retrieved","Not retrieved",IF(R8="Yes","Included",IF(R8="No","Excluded: eligible, not selected (E9)","Eligible - pending selection"))))))))</f>
        <v>Pending full text</v>
      </c>
      <c r="T8" s="19"/>
      <c r="U8" s="20"/>
      <c r="V8" s="21"/>
    </row>
    <row r="9" customFormat="false" ht="165" hidden="false" customHeight="true" outlineLevel="0" collapsed="false">
      <c r="A9" s="16" t="n">
        <v>8</v>
      </c>
      <c r="B9" s="16" t="s">
        <v>140</v>
      </c>
      <c r="C9" s="16" t="n">
        <v>2026</v>
      </c>
      <c r="D9" s="16" t="s">
        <v>141</v>
      </c>
      <c r="E9" s="16" t="s">
        <v>142</v>
      </c>
      <c r="F9" s="16" t="s">
        <v>143</v>
      </c>
      <c r="G9" s="16" t="s">
        <v>104</v>
      </c>
      <c r="H9" s="16" t="s">
        <v>144</v>
      </c>
      <c r="I9" s="17" t="s">
        <v>134</v>
      </c>
      <c r="J9" s="17" t="s">
        <v>64</v>
      </c>
      <c r="K9" s="17"/>
      <c r="L9" s="17"/>
      <c r="M9" s="17"/>
      <c r="N9" s="17"/>
      <c r="O9" s="17"/>
      <c r="P9" s="16" t="str">
        <f aca="false">IF(K9="Eligible",IF(M9=1,1000,0)+IF(N9="Y",100,0)+IF(O9="Y",10,0)+(C9-2019)/10,"")</f>
        <v/>
      </c>
      <c r="Q9" s="16" t="str">
        <f aca="false">IF(P9="","",RANK(P9,$P$2:$P$45))</f>
        <v/>
      </c>
      <c r="R9" s="18"/>
      <c r="S9" s="16" t="str">
        <f aca="false">IF(I9="","Pending",IF(I9="Exclude","Excluded at title/abstract",IF(V9="Y","Excluded: eligible by abstract, not assessed (E9)",IF(K9="","Pending full text",IF(K9="Exclude","Excluded at full text",IF(K9="Not retrieved","Not retrieved",IF(R9="Yes","Included",IF(R9="No","Excluded: eligible, not selected (E9)","Eligible - pending selection"))))))))</f>
        <v>Excluded at title/abstract</v>
      </c>
      <c r="T9" s="19"/>
      <c r="U9" s="20"/>
      <c r="V9" s="21"/>
    </row>
    <row r="10" customFormat="false" ht="165" hidden="false" customHeight="true" outlineLevel="0" collapsed="false">
      <c r="A10" s="16" t="n">
        <v>9</v>
      </c>
      <c r="B10" s="16" t="s">
        <v>145</v>
      </c>
      <c r="C10" s="16" t="n">
        <v>2026</v>
      </c>
      <c r="D10" s="16" t="s">
        <v>146</v>
      </c>
      <c r="E10" s="16" t="s">
        <v>147</v>
      </c>
      <c r="F10" s="16" t="s">
        <v>148</v>
      </c>
      <c r="G10" s="16" t="s">
        <v>104</v>
      </c>
      <c r="H10" s="16" t="s">
        <v>149</v>
      </c>
      <c r="I10" s="17" t="s">
        <v>112</v>
      </c>
      <c r="J10" s="17"/>
      <c r="K10" s="17"/>
      <c r="L10" s="17"/>
      <c r="M10" s="17"/>
      <c r="N10" s="17"/>
      <c r="O10" s="17"/>
      <c r="P10" s="16" t="str">
        <f aca="false">IF(K10="Eligible",IF(M10=1,1000,0)+IF(N10="Y",100,0)+IF(O10="Y",10,0)+(C10-2019)/10,"")</f>
        <v/>
      </c>
      <c r="Q10" s="16" t="str">
        <f aca="false">IF(P10="","",RANK(P10,$P$2:$P$45))</f>
        <v/>
      </c>
      <c r="R10" s="18"/>
      <c r="S10" s="16" t="str">
        <f aca="false">IF(I10="","Pending",IF(I10="Exclude","Excluded at title/abstract",IF(V10="Y","Excluded: eligible by abstract, not assessed (E9)",IF(K10="","Pending full text",IF(K10="Exclude","Excluded at full text",IF(K10="Not retrieved","Not retrieved",IF(R10="Yes","Included",IF(R10="No","Excluded: eligible, not selected (E9)","Eligible - pending selection"))))))))</f>
        <v>Pending full text</v>
      </c>
      <c r="T10" s="19"/>
      <c r="U10" s="20"/>
      <c r="V10" s="21"/>
    </row>
    <row r="11" customFormat="false" ht="165" hidden="false" customHeight="true" outlineLevel="0" collapsed="false">
      <c r="A11" s="16" t="n">
        <v>10</v>
      </c>
      <c r="B11" s="16" t="s">
        <v>150</v>
      </c>
      <c r="C11" s="16" t="n">
        <v>2026</v>
      </c>
      <c r="D11" s="16" t="s">
        <v>151</v>
      </c>
      <c r="E11" s="16" t="s">
        <v>152</v>
      </c>
      <c r="F11" s="16" t="s">
        <v>153</v>
      </c>
      <c r="G11" s="16" t="s">
        <v>104</v>
      </c>
      <c r="H11" s="16" t="s">
        <v>154</v>
      </c>
      <c r="I11" s="17" t="s">
        <v>134</v>
      </c>
      <c r="J11" s="17" t="s">
        <v>64</v>
      </c>
      <c r="K11" s="17"/>
      <c r="L11" s="17"/>
      <c r="M11" s="17"/>
      <c r="N11" s="17"/>
      <c r="O11" s="17"/>
      <c r="P11" s="16" t="str">
        <f aca="false">IF(K11="Eligible",IF(M11=1,1000,0)+IF(N11="Y",100,0)+IF(O11="Y",10,0)+(C11-2019)/10,"")</f>
        <v/>
      </c>
      <c r="Q11" s="16" t="str">
        <f aca="false">IF(P11="","",RANK(P11,$P$2:$P$45))</f>
        <v/>
      </c>
      <c r="R11" s="18"/>
      <c r="S11" s="16" t="str">
        <f aca="false">IF(I11="","Pending",IF(I11="Exclude","Excluded at title/abstract",IF(V11="Y","Excluded: eligible by abstract, not assessed (E9)",IF(K11="","Pending full text",IF(K11="Exclude","Excluded at full text",IF(K11="Not retrieved","Not retrieved",IF(R11="Yes","Included",IF(R11="No","Excluded: eligible, not selected (E9)","Eligible - pending selection"))))))))</f>
        <v>Excluded at title/abstract</v>
      </c>
      <c r="T11" s="19"/>
      <c r="U11" s="20"/>
      <c r="V11" s="21"/>
    </row>
    <row r="12" customFormat="false" ht="165" hidden="false" customHeight="true" outlineLevel="0" collapsed="false">
      <c r="A12" s="16" t="n">
        <v>11</v>
      </c>
      <c r="B12" s="16" t="s">
        <v>155</v>
      </c>
      <c r="C12" s="16" t="n">
        <v>2026</v>
      </c>
      <c r="D12" s="16" t="s">
        <v>156</v>
      </c>
      <c r="E12" s="16" t="s">
        <v>157</v>
      </c>
      <c r="F12" s="16" t="s">
        <v>158</v>
      </c>
      <c r="G12" s="16" t="s">
        <v>159</v>
      </c>
      <c r="H12" s="16" t="s">
        <v>160</v>
      </c>
      <c r="I12" s="17" t="s">
        <v>134</v>
      </c>
      <c r="J12" s="17" t="s">
        <v>60</v>
      </c>
      <c r="K12" s="17"/>
      <c r="L12" s="17"/>
      <c r="M12" s="17"/>
      <c r="N12" s="17"/>
      <c r="O12" s="17"/>
      <c r="P12" s="16" t="str">
        <f aca="false">IF(K12="Eligible",IF(M12=1,1000,0)+IF(N12="Y",100,0)+IF(O12="Y",10,0)+(C12-2019)/10,"")</f>
        <v/>
      </c>
      <c r="Q12" s="16" t="str">
        <f aca="false">IF(P12="","",RANK(P12,$P$2:$P$45))</f>
        <v/>
      </c>
      <c r="R12" s="18"/>
      <c r="S12" s="16" t="str">
        <f aca="false">IF(I12="","Pending",IF(I12="Exclude","Excluded at title/abstract",IF(V12="Y","Excluded: eligible by abstract, not assessed (E9)",IF(K12="","Pending full text",IF(K12="Exclude","Excluded at full text",IF(K12="Not retrieved","Not retrieved",IF(R12="Yes","Included",IF(R12="No","Excluded: eligible, not selected (E9)","Eligible - pending selection"))))))))</f>
        <v>Excluded at title/abstract</v>
      </c>
      <c r="T12" s="19"/>
      <c r="U12" s="20"/>
      <c r="V12" s="21"/>
    </row>
    <row r="13" customFormat="false" ht="165" hidden="false" customHeight="true" outlineLevel="0" collapsed="false">
      <c r="A13" s="16" t="n">
        <v>12</v>
      </c>
      <c r="B13" s="16" t="s">
        <v>161</v>
      </c>
      <c r="C13" s="16" t="n">
        <v>2025</v>
      </c>
      <c r="D13" s="16" t="s">
        <v>162</v>
      </c>
      <c r="E13" s="16" t="s">
        <v>163</v>
      </c>
      <c r="F13" s="16" t="s">
        <v>164</v>
      </c>
      <c r="G13" s="16" t="s">
        <v>104</v>
      </c>
      <c r="H13" s="16" t="s">
        <v>165</v>
      </c>
      <c r="I13" s="17" t="s">
        <v>134</v>
      </c>
      <c r="J13" s="17" t="s">
        <v>68</v>
      </c>
      <c r="K13" s="17"/>
      <c r="L13" s="17"/>
      <c r="M13" s="17"/>
      <c r="N13" s="17"/>
      <c r="O13" s="17"/>
      <c r="P13" s="16" t="str">
        <f aca="false">IF(K13="Eligible",IF(M13=1,1000,0)+IF(N13="Y",100,0)+IF(O13="Y",10,0)+(C13-2019)/10,"")</f>
        <v/>
      </c>
      <c r="Q13" s="16" t="str">
        <f aca="false">IF(P13="","",RANK(P13,$P$2:$P$45))</f>
        <v/>
      </c>
      <c r="R13" s="18"/>
      <c r="S13" s="16" t="str">
        <f aca="false">IF(I13="","Pending",IF(I13="Exclude","Excluded at title/abstract",IF(V13="Y","Excluded: eligible by abstract, not assessed (E9)",IF(K13="","Pending full text",IF(K13="Exclude","Excluded at full text",IF(K13="Not retrieved","Not retrieved",IF(R13="Yes","Included",IF(R13="No","Excluded: eligible, not selected (E9)","Eligible - pending selection"))))))))</f>
        <v>Excluded at title/abstract</v>
      </c>
      <c r="T13" s="19" t="s">
        <v>128</v>
      </c>
      <c r="U13" s="21"/>
      <c r="V13" s="21"/>
    </row>
    <row r="14" customFormat="false" ht="165" hidden="false" customHeight="true" outlineLevel="0" collapsed="false">
      <c r="A14" s="16" t="n">
        <v>13</v>
      </c>
      <c r="B14" s="16" t="s">
        <v>166</v>
      </c>
      <c r="C14" s="16" t="n">
        <v>2025</v>
      </c>
      <c r="D14" s="16" t="s">
        <v>167</v>
      </c>
      <c r="E14" s="16" t="s">
        <v>168</v>
      </c>
      <c r="F14" s="16" t="s">
        <v>169</v>
      </c>
      <c r="G14" s="16" t="s">
        <v>104</v>
      </c>
      <c r="H14" s="16" t="s">
        <v>170</v>
      </c>
      <c r="I14" s="17" t="s">
        <v>112</v>
      </c>
      <c r="J14" s="17"/>
      <c r="K14" s="17"/>
      <c r="L14" s="17"/>
      <c r="M14" s="17"/>
      <c r="N14" s="17"/>
      <c r="O14" s="17"/>
      <c r="P14" s="16" t="str">
        <f aca="false">IF(K14="Eligible",IF(M14=1,1000,0)+IF(N14="Y",100,0)+IF(O14="Y",10,0)+(C14-2019)/10,"")</f>
        <v/>
      </c>
      <c r="Q14" s="16" t="str">
        <f aca="false">IF(P14="","",RANK(P14,$P$2:$P$45))</f>
        <v/>
      </c>
      <c r="R14" s="18"/>
      <c r="S14" s="16" t="str">
        <f aca="false">IF(I14="","Pending",IF(I14="Exclude","Excluded at title/abstract",IF(V14="Y","Excluded: eligible by abstract, not assessed (E9)",IF(K14="","Pending full text",IF(K14="Exclude","Excluded at full text",IF(K14="Not retrieved","Not retrieved",IF(R14="Yes","Included",IF(R14="No","Excluded: eligible, not selected (E9)","Eligible - pending selection"))))))))</f>
        <v>Pending full text</v>
      </c>
      <c r="T14" s="19"/>
      <c r="U14" s="20"/>
      <c r="V14" s="21"/>
    </row>
    <row r="15" customFormat="false" ht="165" hidden="false" customHeight="true" outlineLevel="0" collapsed="false">
      <c r="A15" s="16" t="n">
        <v>14</v>
      </c>
      <c r="B15" s="16" t="s">
        <v>171</v>
      </c>
      <c r="C15" s="16" t="n">
        <v>2025</v>
      </c>
      <c r="D15" s="16" t="s">
        <v>172</v>
      </c>
      <c r="E15" s="16" t="s">
        <v>173</v>
      </c>
      <c r="F15" s="16" t="s">
        <v>174</v>
      </c>
      <c r="G15" s="16" t="s">
        <v>104</v>
      </c>
      <c r="H15" s="16" t="s">
        <v>175</v>
      </c>
      <c r="I15" s="17" t="s">
        <v>112</v>
      </c>
      <c r="J15" s="17"/>
      <c r="K15" s="17"/>
      <c r="L15" s="17"/>
      <c r="M15" s="17"/>
      <c r="N15" s="17"/>
      <c r="O15" s="17"/>
      <c r="P15" s="16" t="str">
        <f aca="false">IF(K15="Eligible",IF(M15=1,1000,0)+IF(N15="Y",100,0)+IF(O15="Y",10,0)+(C15-2019)/10,"")</f>
        <v/>
      </c>
      <c r="Q15" s="16" t="str">
        <f aca="false">IF(P15="","",RANK(P15,$P$2:$P$45))</f>
        <v/>
      </c>
      <c r="R15" s="18"/>
      <c r="S15" s="16" t="str">
        <f aca="false">IF(I15="","Pending",IF(I15="Exclude","Excluded at title/abstract",IF(V15="Y","Excluded: eligible by abstract, not assessed (E9)",IF(K15="","Pending full text",IF(K15="Exclude","Excluded at full text",IF(K15="Not retrieved","Not retrieved",IF(R15="Yes","Included",IF(R15="No","Excluded: eligible, not selected (E9)","Eligible - pending selection"))))))))</f>
        <v>Pending full text</v>
      </c>
      <c r="T15" s="19"/>
      <c r="U15" s="20"/>
      <c r="V15" s="21"/>
    </row>
    <row r="16" customFormat="false" ht="165" hidden="false" customHeight="true" outlineLevel="0" collapsed="false">
      <c r="A16" s="16" t="n">
        <v>15</v>
      </c>
      <c r="B16" s="16" t="s">
        <v>176</v>
      </c>
      <c r="C16" s="16" t="n">
        <v>2026</v>
      </c>
      <c r="D16" s="16" t="s">
        <v>177</v>
      </c>
      <c r="E16" s="16" t="s">
        <v>178</v>
      </c>
      <c r="F16" s="16" t="s">
        <v>179</v>
      </c>
      <c r="G16" s="16" t="s">
        <v>104</v>
      </c>
      <c r="H16" s="16" t="s">
        <v>180</v>
      </c>
      <c r="I16" s="17" t="s">
        <v>112</v>
      </c>
      <c r="J16" s="17"/>
      <c r="K16" s="17"/>
      <c r="L16" s="17"/>
      <c r="M16" s="17"/>
      <c r="N16" s="17"/>
      <c r="O16" s="17"/>
      <c r="P16" s="16" t="str">
        <f aca="false">IF(K16="Eligible",IF(M16=1,1000,0)+IF(N16="Y",100,0)+IF(O16="Y",10,0)+(C16-2019)/10,"")</f>
        <v/>
      </c>
      <c r="Q16" s="16" t="str">
        <f aca="false">IF(P16="","",RANK(P16,$P$2:$P$45))</f>
        <v/>
      </c>
      <c r="R16" s="18"/>
      <c r="S16" s="16" t="str">
        <f aca="false">IF(I16="","Pending",IF(I16="Exclude","Excluded at title/abstract",IF(V16="Y","Excluded: eligible by abstract, not assessed (E9)",IF(K16="","Pending full text",IF(K16="Exclude","Excluded at full text",IF(K16="Not retrieved","Not retrieved",IF(R16="Yes","Included",IF(R16="No","Excluded: eligible, not selected (E9)","Eligible - pending selection"))))))))</f>
        <v>Pending full text</v>
      </c>
      <c r="T16" s="19"/>
      <c r="U16" s="20"/>
      <c r="V16" s="21"/>
    </row>
    <row r="17" customFormat="false" ht="165" hidden="false" customHeight="true" outlineLevel="0" collapsed="false">
      <c r="A17" s="16" t="n">
        <v>16</v>
      </c>
      <c r="B17" s="16" t="s">
        <v>181</v>
      </c>
      <c r="C17" s="16" t="n">
        <v>2025</v>
      </c>
      <c r="D17" s="16" t="s">
        <v>182</v>
      </c>
      <c r="E17" s="16" t="s">
        <v>183</v>
      </c>
      <c r="F17" s="16" t="s">
        <v>184</v>
      </c>
      <c r="G17" s="16" t="s">
        <v>104</v>
      </c>
      <c r="H17" s="16" t="s">
        <v>185</v>
      </c>
      <c r="I17" s="17" t="s">
        <v>134</v>
      </c>
      <c r="J17" s="17" t="s">
        <v>66</v>
      </c>
      <c r="K17" s="17"/>
      <c r="L17" s="17"/>
      <c r="M17" s="17"/>
      <c r="N17" s="17"/>
      <c r="O17" s="17"/>
      <c r="P17" s="16" t="str">
        <f aca="false">IF(K17="Eligible",IF(M17=1,1000,0)+IF(N17="Y",100,0)+IF(O17="Y",10,0)+(C17-2019)/10,"")</f>
        <v/>
      </c>
      <c r="Q17" s="16" t="str">
        <f aca="false">IF(P17="","",RANK(P17,$P$2:$P$45))</f>
        <v/>
      </c>
      <c r="R17" s="18"/>
      <c r="S17" s="16" t="str">
        <f aca="false">IF(I17="","Pending",IF(I17="Exclude","Excluded at title/abstract",IF(V17="Y","Excluded: eligible by abstract, not assessed (E9)",IF(K17="","Pending full text",IF(K17="Exclude","Excluded at full text",IF(K17="Not retrieved","Not retrieved",IF(R17="Yes","Included",IF(R17="No","Excluded: eligible, not selected (E9)","Eligible - pending selection"))))))))</f>
        <v>Excluded at title/abstract</v>
      </c>
      <c r="T17" s="19"/>
      <c r="U17" s="20"/>
      <c r="V17" s="21"/>
    </row>
    <row r="18" customFormat="false" ht="165" hidden="false" customHeight="true" outlineLevel="0" collapsed="false">
      <c r="A18" s="16" t="n">
        <v>17</v>
      </c>
      <c r="B18" s="16" t="s">
        <v>186</v>
      </c>
      <c r="C18" s="16" t="n">
        <v>2026</v>
      </c>
      <c r="D18" s="16" t="s">
        <v>187</v>
      </c>
      <c r="E18" s="16" t="s">
        <v>188</v>
      </c>
      <c r="F18" s="16" t="s">
        <v>189</v>
      </c>
      <c r="G18" s="16" t="s">
        <v>104</v>
      </c>
      <c r="H18" s="16" t="s">
        <v>190</v>
      </c>
      <c r="I18" s="17" t="s">
        <v>134</v>
      </c>
      <c r="J18" s="17" t="s">
        <v>64</v>
      </c>
      <c r="K18" s="17"/>
      <c r="L18" s="17"/>
      <c r="M18" s="17"/>
      <c r="N18" s="17"/>
      <c r="O18" s="17"/>
      <c r="P18" s="16" t="str">
        <f aca="false">IF(K18="Eligible",IF(M18=1,1000,0)+IF(N18="Y",100,0)+IF(O18="Y",10,0)+(C18-2019)/10,"")</f>
        <v/>
      </c>
      <c r="Q18" s="16" t="str">
        <f aca="false">IF(P18="","",RANK(P18,$P$2:$P$45))</f>
        <v/>
      </c>
      <c r="R18" s="18"/>
      <c r="S18" s="16" t="str">
        <f aca="false">IF(I18="","Pending",IF(I18="Exclude","Excluded at title/abstract",IF(V18="Y","Excluded: eligible by abstract, not assessed (E9)",IF(K18="","Pending full text",IF(K18="Exclude","Excluded at full text",IF(K18="Not retrieved","Not retrieved",IF(R18="Yes","Included",IF(R18="No","Excluded: eligible, not selected (E9)","Eligible - pending selection"))))))))</f>
        <v>Excluded at title/abstract</v>
      </c>
      <c r="T18" s="19"/>
      <c r="U18" s="20"/>
      <c r="V18" s="21"/>
    </row>
    <row r="19" customFormat="false" ht="165" hidden="false" customHeight="true" outlineLevel="0" collapsed="false">
      <c r="A19" s="16" t="n">
        <v>18</v>
      </c>
      <c r="B19" s="16" t="s">
        <v>191</v>
      </c>
      <c r="C19" s="16" t="n">
        <v>2026</v>
      </c>
      <c r="D19" s="16" t="s">
        <v>192</v>
      </c>
      <c r="E19" s="16" t="s">
        <v>193</v>
      </c>
      <c r="F19" s="16" t="s">
        <v>194</v>
      </c>
      <c r="G19" s="16" t="s">
        <v>104</v>
      </c>
      <c r="H19" s="16" t="s">
        <v>195</v>
      </c>
      <c r="I19" s="17" t="s">
        <v>134</v>
      </c>
      <c r="J19" s="17" t="s">
        <v>64</v>
      </c>
      <c r="K19" s="17"/>
      <c r="L19" s="17"/>
      <c r="M19" s="17"/>
      <c r="N19" s="17"/>
      <c r="O19" s="17"/>
      <c r="P19" s="16" t="str">
        <f aca="false">IF(K19="Eligible",IF(M19=1,1000,0)+IF(N19="Y",100,0)+IF(O19="Y",10,0)+(C19-2019)/10,"")</f>
        <v/>
      </c>
      <c r="Q19" s="16" t="str">
        <f aca="false">IF(P19="","",RANK(P19,$P$2:$P$45))</f>
        <v/>
      </c>
      <c r="R19" s="18"/>
      <c r="S19" s="16" t="str">
        <f aca="false">IF(I19="","Pending",IF(I19="Exclude","Excluded at title/abstract",IF(V19="Y","Excluded: eligible by abstract, not assessed (E9)",IF(K19="","Pending full text",IF(K19="Exclude","Excluded at full text",IF(K19="Not retrieved","Not retrieved",IF(R19="Yes","Included",IF(R19="No","Excluded: eligible, not selected (E9)","Eligible - pending selection"))))))))</f>
        <v>Excluded at title/abstract</v>
      </c>
      <c r="T19" s="19" t="s">
        <v>128</v>
      </c>
      <c r="U19" s="21"/>
      <c r="V19" s="21"/>
    </row>
    <row r="20" customFormat="false" ht="165" hidden="false" customHeight="true" outlineLevel="0" collapsed="false">
      <c r="A20" s="16" t="n">
        <v>19</v>
      </c>
      <c r="B20" s="16" t="s">
        <v>196</v>
      </c>
      <c r="C20" s="16" t="n">
        <v>2024</v>
      </c>
      <c r="D20" s="16" t="s">
        <v>197</v>
      </c>
      <c r="E20" s="16" t="s">
        <v>198</v>
      </c>
      <c r="F20" s="16" t="s">
        <v>199</v>
      </c>
      <c r="G20" s="16" t="s">
        <v>104</v>
      </c>
      <c r="H20" s="16" t="s">
        <v>200</v>
      </c>
      <c r="I20" s="17" t="s">
        <v>106</v>
      </c>
      <c r="J20" s="17"/>
      <c r="K20" s="17"/>
      <c r="L20" s="17"/>
      <c r="M20" s="17"/>
      <c r="N20" s="17"/>
      <c r="O20" s="17"/>
      <c r="P20" s="16" t="str">
        <f aca="false">IF(K20="Eligible",IF(M20=1,1000,0)+IF(N20="Y",100,0)+IF(O20="Y",10,0)+(C20-2019)/10,"")</f>
        <v/>
      </c>
      <c r="Q20" s="16" t="str">
        <f aca="false">IF(P20="","",RANK(P20,$P$2:$P$45))</f>
        <v/>
      </c>
      <c r="R20" s="18"/>
      <c r="S20" s="16" t="str">
        <f aca="false">IF(I20="","Pending",IF(I20="Exclude","Excluded at title/abstract",IF(V20="Y","Excluded: eligible by abstract, not assessed (E9)",IF(K20="","Pending full text",IF(K20="Exclude","Excluded at full text",IF(K20="Not retrieved","Not retrieved",IF(R20="Yes","Included",IF(R20="No","Excluded: eligible, not selected (E9)","Eligible - pending selection"))))))))</f>
        <v>Pending full text</v>
      </c>
      <c r="T20" s="19"/>
      <c r="U20" s="20"/>
      <c r="V20" s="21"/>
    </row>
    <row r="21" customFormat="false" ht="165" hidden="false" customHeight="true" outlineLevel="0" collapsed="false">
      <c r="A21" s="16" t="n">
        <v>20</v>
      </c>
      <c r="B21" s="16" t="s">
        <v>201</v>
      </c>
      <c r="C21" s="16" t="n">
        <v>2025</v>
      </c>
      <c r="D21" s="16" t="s">
        <v>202</v>
      </c>
      <c r="E21" s="16" t="s">
        <v>203</v>
      </c>
      <c r="F21" s="16" t="s">
        <v>204</v>
      </c>
      <c r="G21" s="16" t="s">
        <v>104</v>
      </c>
      <c r="H21" s="16" t="s">
        <v>205</v>
      </c>
      <c r="I21" s="17" t="s">
        <v>134</v>
      </c>
      <c r="J21" s="17" t="s">
        <v>68</v>
      </c>
      <c r="K21" s="17"/>
      <c r="L21" s="17"/>
      <c r="M21" s="17"/>
      <c r="N21" s="17"/>
      <c r="O21" s="17"/>
      <c r="P21" s="16" t="str">
        <f aca="false">IF(K21="Eligible",IF(M21=1,1000,0)+IF(N21="Y",100,0)+IF(O21="Y",10,0)+(C21-2019)/10,"")</f>
        <v/>
      </c>
      <c r="Q21" s="16" t="str">
        <f aca="false">IF(P21="","",RANK(P21,$P$2:$P$45))</f>
        <v/>
      </c>
      <c r="R21" s="18"/>
      <c r="S21" s="16" t="str">
        <f aca="false">IF(I21="","Pending",IF(I21="Exclude","Excluded at title/abstract",IF(V21="Y","Excluded: eligible by abstract, not assessed (E9)",IF(K21="","Pending full text",IF(K21="Exclude","Excluded at full text",IF(K21="Not retrieved","Not retrieved",IF(R21="Yes","Included",IF(R21="No","Excluded: eligible, not selected (E9)","Eligible - pending selection"))))))))</f>
        <v>Excluded at title/abstract</v>
      </c>
      <c r="T21" s="19" t="s">
        <v>128</v>
      </c>
      <c r="U21" s="21"/>
      <c r="V21" s="21"/>
    </row>
    <row r="22" customFormat="false" ht="165" hidden="false" customHeight="true" outlineLevel="0" collapsed="false">
      <c r="A22" s="16" t="n">
        <v>21</v>
      </c>
      <c r="B22" s="16" t="s">
        <v>206</v>
      </c>
      <c r="C22" s="16" t="n">
        <v>2026</v>
      </c>
      <c r="D22" s="16" t="s">
        <v>207</v>
      </c>
      <c r="E22" s="16" t="s">
        <v>208</v>
      </c>
      <c r="F22" s="16" t="s">
        <v>209</v>
      </c>
      <c r="G22" s="16" t="s">
        <v>104</v>
      </c>
      <c r="H22" s="16" t="s">
        <v>210</v>
      </c>
      <c r="I22" s="17" t="s">
        <v>112</v>
      </c>
      <c r="J22" s="17"/>
      <c r="K22" s="17"/>
      <c r="L22" s="17"/>
      <c r="M22" s="17"/>
      <c r="N22" s="17"/>
      <c r="O22" s="17"/>
      <c r="P22" s="16" t="str">
        <f aca="false">IF(K22="Eligible",IF(M22=1,1000,0)+IF(N22="Y",100,0)+IF(O22="Y",10,0)+(C22-2019)/10,"")</f>
        <v/>
      </c>
      <c r="Q22" s="16" t="str">
        <f aca="false">IF(P22="","",RANK(P22,$P$2:$P$45))</f>
        <v/>
      </c>
      <c r="R22" s="18"/>
      <c r="S22" s="16" t="str">
        <f aca="false">IF(I22="","Pending",IF(I22="Exclude","Excluded at title/abstract",IF(V22="Y","Excluded: eligible by abstract, not assessed (E9)",IF(K22="","Pending full text",IF(K22="Exclude","Excluded at full text",IF(K22="Not retrieved","Not retrieved",IF(R22="Yes","Included",IF(R22="No","Excluded: eligible, not selected (E9)","Eligible - pending selection"))))))))</f>
        <v>Pending full text</v>
      </c>
      <c r="T22" s="19"/>
      <c r="U22" s="20"/>
      <c r="V22" s="21"/>
    </row>
    <row r="23" customFormat="false" ht="165" hidden="false" customHeight="true" outlineLevel="0" collapsed="false">
      <c r="A23" s="16" t="n">
        <v>22</v>
      </c>
      <c r="B23" s="16" t="s">
        <v>211</v>
      </c>
      <c r="C23" s="16" t="n">
        <v>2025</v>
      </c>
      <c r="D23" s="16" t="s">
        <v>212</v>
      </c>
      <c r="E23" s="16" t="s">
        <v>213</v>
      </c>
      <c r="F23" s="16" t="s">
        <v>214</v>
      </c>
      <c r="G23" s="16" t="s">
        <v>104</v>
      </c>
      <c r="H23" s="16" t="s">
        <v>215</v>
      </c>
      <c r="I23" s="17" t="s">
        <v>134</v>
      </c>
      <c r="J23" s="17" t="s">
        <v>66</v>
      </c>
      <c r="K23" s="17"/>
      <c r="L23" s="17"/>
      <c r="M23" s="17"/>
      <c r="N23" s="17"/>
      <c r="O23" s="17"/>
      <c r="P23" s="16" t="str">
        <f aca="false">IF(K23="Eligible",IF(M23=1,1000,0)+IF(N23="Y",100,0)+IF(O23="Y",10,0)+(C23-2019)/10,"")</f>
        <v/>
      </c>
      <c r="Q23" s="16" t="str">
        <f aca="false">IF(P23="","",RANK(P23,$P$2:$P$45))</f>
        <v/>
      </c>
      <c r="R23" s="18"/>
      <c r="S23" s="16" t="str">
        <f aca="false">IF(I23="","Pending",IF(I23="Exclude","Excluded at title/abstract",IF(V23="Y","Excluded: eligible by abstract, not assessed (E9)",IF(K23="","Pending full text",IF(K23="Exclude","Excluded at full text",IF(K23="Not retrieved","Not retrieved",IF(R23="Yes","Included",IF(R23="No","Excluded: eligible, not selected (E9)","Eligible - pending selection"))))))))</f>
        <v>Excluded at title/abstract</v>
      </c>
      <c r="T23" s="19"/>
      <c r="U23" s="20"/>
      <c r="V23" s="21"/>
    </row>
    <row r="24" customFormat="false" ht="165" hidden="false" customHeight="true" outlineLevel="0" collapsed="false">
      <c r="A24" s="16" t="n">
        <v>23</v>
      </c>
      <c r="B24" s="16" t="s">
        <v>216</v>
      </c>
      <c r="C24" s="16" t="n">
        <v>2025</v>
      </c>
      <c r="D24" s="16" t="s">
        <v>217</v>
      </c>
      <c r="E24" s="16" t="s">
        <v>218</v>
      </c>
      <c r="F24" s="16" t="s">
        <v>219</v>
      </c>
      <c r="G24" s="16" t="s">
        <v>104</v>
      </c>
      <c r="H24" s="16" t="s">
        <v>220</v>
      </c>
      <c r="I24" s="17" t="s">
        <v>112</v>
      </c>
      <c r="J24" s="17"/>
      <c r="K24" s="17"/>
      <c r="L24" s="17"/>
      <c r="M24" s="17"/>
      <c r="N24" s="17"/>
      <c r="O24" s="17"/>
      <c r="P24" s="16" t="str">
        <f aca="false">IF(K24="Eligible",IF(M24=1,1000,0)+IF(N24="Y",100,0)+IF(O24="Y",10,0)+(C24-2019)/10,"")</f>
        <v/>
      </c>
      <c r="Q24" s="16" t="str">
        <f aca="false">IF(P24="","",RANK(P24,$P$2:$P$45))</f>
        <v/>
      </c>
      <c r="R24" s="18"/>
      <c r="S24" s="16" t="str">
        <f aca="false">IF(I24="","Pending",IF(I24="Exclude","Excluded at title/abstract",IF(V24="Y","Excluded: eligible by abstract, not assessed (E9)",IF(K24="","Pending full text",IF(K24="Exclude","Excluded at full text",IF(K24="Not retrieved","Not retrieved",IF(R24="Yes","Included",IF(R24="No","Excluded: eligible, not selected (E9)","Eligible - pending selection"))))))))</f>
        <v>Pending full text</v>
      </c>
      <c r="T24" s="19"/>
      <c r="U24" s="20"/>
      <c r="V24" s="21"/>
    </row>
    <row r="25" customFormat="false" ht="165" hidden="false" customHeight="true" outlineLevel="0" collapsed="false">
      <c r="A25" s="16" t="n">
        <v>24</v>
      </c>
      <c r="B25" s="16" t="s">
        <v>221</v>
      </c>
      <c r="C25" s="16" t="n">
        <v>2026</v>
      </c>
      <c r="D25" s="16" t="s">
        <v>222</v>
      </c>
      <c r="E25" s="16" t="s">
        <v>223</v>
      </c>
      <c r="F25" s="16" t="s">
        <v>224</v>
      </c>
      <c r="G25" s="16" t="s">
        <v>104</v>
      </c>
      <c r="H25" s="16" t="s">
        <v>225</v>
      </c>
      <c r="I25" s="17" t="s">
        <v>134</v>
      </c>
      <c r="J25" s="17" t="s">
        <v>66</v>
      </c>
      <c r="K25" s="17"/>
      <c r="L25" s="17"/>
      <c r="M25" s="17"/>
      <c r="N25" s="17"/>
      <c r="O25" s="17"/>
      <c r="P25" s="16" t="str">
        <f aca="false">IF(K25="Eligible",IF(M25=1,1000,0)+IF(N25="Y",100,0)+IF(O25="Y",10,0)+(C25-2019)/10,"")</f>
        <v/>
      </c>
      <c r="Q25" s="16" t="str">
        <f aca="false">IF(P25="","",RANK(P25,$P$2:$P$45))</f>
        <v/>
      </c>
      <c r="R25" s="18"/>
      <c r="S25" s="16" t="str">
        <f aca="false">IF(I25="","Pending",IF(I25="Exclude","Excluded at title/abstract",IF(V25="Y","Excluded: eligible by abstract, not assessed (E9)",IF(K25="","Pending full text",IF(K25="Exclude","Excluded at full text",IF(K25="Not retrieved","Not retrieved",IF(R25="Yes","Included",IF(R25="No","Excluded: eligible, not selected (E9)","Eligible - pending selection"))))))))</f>
        <v>Excluded at title/abstract</v>
      </c>
      <c r="T25" s="19"/>
      <c r="U25" s="20"/>
      <c r="V25" s="21"/>
    </row>
    <row r="26" customFormat="false" ht="165" hidden="false" customHeight="true" outlineLevel="0" collapsed="false">
      <c r="A26" s="16" t="n">
        <v>25</v>
      </c>
      <c r="B26" s="16" t="s">
        <v>226</v>
      </c>
      <c r="C26" s="16" t="n">
        <v>2026</v>
      </c>
      <c r="D26" s="16" t="s">
        <v>227</v>
      </c>
      <c r="E26" s="16" t="s">
        <v>228</v>
      </c>
      <c r="F26" s="16"/>
      <c r="G26" s="16" t="s">
        <v>104</v>
      </c>
      <c r="H26" s="16" t="s">
        <v>229</v>
      </c>
      <c r="I26" s="17" t="s">
        <v>134</v>
      </c>
      <c r="J26" s="17" t="s">
        <v>58</v>
      </c>
      <c r="K26" s="17"/>
      <c r="L26" s="17"/>
      <c r="M26" s="17"/>
      <c r="N26" s="17"/>
      <c r="O26" s="17"/>
      <c r="P26" s="16" t="str">
        <f aca="false">IF(K26="Eligible",IF(M26=1,1000,0)+IF(N26="Y",100,0)+IF(O26="Y",10,0)+(C26-2019)/10,"")</f>
        <v/>
      </c>
      <c r="Q26" s="16" t="str">
        <f aca="false">IF(P26="","",RANK(P26,$P$2:$P$45))</f>
        <v/>
      </c>
      <c r="R26" s="18"/>
      <c r="S26" s="16" t="str">
        <f aca="false">IF(I26="","Pending",IF(I26="Exclude","Excluded at title/abstract",IF(V26="Y","Excluded: eligible by abstract, not assessed (E9)",IF(K26="","Pending full text",IF(K26="Exclude","Excluded at full text",IF(K26="Not retrieved","Not retrieved",IF(R26="Yes","Included",IF(R26="No","Excluded: eligible, not selected (E9)","Eligible - pending selection"))))))))</f>
        <v>Excluded at title/abstract</v>
      </c>
      <c r="T26" s="19"/>
      <c r="U26" s="20"/>
      <c r="V26" s="21"/>
    </row>
    <row r="27" customFormat="false" ht="165" hidden="false" customHeight="true" outlineLevel="0" collapsed="false">
      <c r="A27" s="16" t="n">
        <v>26</v>
      </c>
      <c r="B27" s="16" t="s">
        <v>230</v>
      </c>
      <c r="C27" s="16" t="n">
        <v>2026</v>
      </c>
      <c r="D27" s="16" t="s">
        <v>231</v>
      </c>
      <c r="E27" s="16" t="s">
        <v>232</v>
      </c>
      <c r="F27" s="16" t="s">
        <v>233</v>
      </c>
      <c r="G27" s="16" t="s">
        <v>104</v>
      </c>
      <c r="H27" s="16" t="s">
        <v>234</v>
      </c>
      <c r="I27" s="17" t="s">
        <v>112</v>
      </c>
      <c r="J27" s="17"/>
      <c r="K27" s="17"/>
      <c r="L27" s="17"/>
      <c r="M27" s="17"/>
      <c r="N27" s="17"/>
      <c r="O27" s="17"/>
      <c r="P27" s="16" t="str">
        <f aca="false">IF(K27="Eligible",IF(M27=1,1000,0)+IF(N27="Y",100,0)+IF(O27="Y",10,0)+(C27-2019)/10,"")</f>
        <v/>
      </c>
      <c r="Q27" s="16" t="str">
        <f aca="false">IF(P27="","",RANK(P27,$P$2:$P$45))</f>
        <v/>
      </c>
      <c r="R27" s="18"/>
      <c r="S27" s="16" t="str">
        <f aca="false">IF(I27="","Pending",IF(I27="Exclude","Excluded at title/abstract",IF(V27="Y","Excluded: eligible by abstract, not assessed (E9)",IF(K27="","Pending full text",IF(K27="Exclude","Excluded at full text",IF(K27="Not retrieved","Not retrieved",IF(R27="Yes","Included",IF(R27="No","Excluded: eligible, not selected (E9)","Eligible - pending selection"))))))))</f>
        <v>Pending full text</v>
      </c>
      <c r="T27" s="19"/>
      <c r="U27" s="20"/>
      <c r="V27" s="21"/>
    </row>
    <row r="28" customFormat="false" ht="165" hidden="false" customHeight="true" outlineLevel="0" collapsed="false">
      <c r="A28" s="16" t="n">
        <v>27</v>
      </c>
      <c r="B28" s="16" t="s">
        <v>235</v>
      </c>
      <c r="C28" s="16" t="n">
        <v>2026</v>
      </c>
      <c r="D28" s="16" t="s">
        <v>236</v>
      </c>
      <c r="E28" s="16" t="s">
        <v>237</v>
      </c>
      <c r="F28" s="16" t="s">
        <v>238</v>
      </c>
      <c r="G28" s="16" t="s">
        <v>104</v>
      </c>
      <c r="H28" s="16" t="s">
        <v>239</v>
      </c>
      <c r="I28" s="17" t="s">
        <v>112</v>
      </c>
      <c r="J28" s="17"/>
      <c r="K28" s="17"/>
      <c r="L28" s="17"/>
      <c r="M28" s="17"/>
      <c r="N28" s="17"/>
      <c r="O28" s="17"/>
      <c r="P28" s="16" t="str">
        <f aca="false">IF(K28="Eligible",IF(M28=1,1000,0)+IF(N28="Y",100,0)+IF(O28="Y",10,0)+(C28-2019)/10,"")</f>
        <v/>
      </c>
      <c r="Q28" s="16" t="str">
        <f aca="false">IF(P28="","",RANK(P28,$P$2:$P$45))</f>
        <v/>
      </c>
      <c r="R28" s="18"/>
      <c r="S28" s="16" t="str">
        <f aca="false">IF(I28="","Pending",IF(I28="Exclude","Excluded at title/abstract",IF(V28="Y","Excluded: eligible by abstract, not assessed (E9)",IF(K28="","Pending full text",IF(K28="Exclude","Excluded at full text",IF(K28="Not retrieved","Not retrieved",IF(R28="Yes","Included",IF(R28="No","Excluded: eligible, not selected (E9)","Eligible - pending selection"))))))))</f>
        <v>Pending full text</v>
      </c>
      <c r="T28" s="19"/>
      <c r="U28" s="20"/>
      <c r="V28" s="21"/>
    </row>
    <row r="29" customFormat="false" ht="165" hidden="false" customHeight="true" outlineLevel="0" collapsed="false">
      <c r="A29" s="16" t="n">
        <v>28</v>
      </c>
      <c r="B29" s="16" t="s">
        <v>240</v>
      </c>
      <c r="C29" s="16" t="n">
        <v>2025</v>
      </c>
      <c r="D29" s="16" t="s">
        <v>241</v>
      </c>
      <c r="E29" s="16" t="s">
        <v>242</v>
      </c>
      <c r="F29" s="16" t="s">
        <v>243</v>
      </c>
      <c r="G29" s="16" t="s">
        <v>104</v>
      </c>
      <c r="H29" s="16" t="s">
        <v>244</v>
      </c>
      <c r="I29" s="17" t="s">
        <v>134</v>
      </c>
      <c r="J29" s="17" t="s">
        <v>66</v>
      </c>
      <c r="K29" s="17"/>
      <c r="L29" s="17"/>
      <c r="M29" s="17"/>
      <c r="N29" s="17"/>
      <c r="O29" s="17"/>
      <c r="P29" s="16" t="str">
        <f aca="false">IF(K29="Eligible",IF(M29=1,1000,0)+IF(N29="Y",100,0)+IF(O29="Y",10,0)+(C29-2019)/10,"")</f>
        <v/>
      </c>
      <c r="Q29" s="16" t="str">
        <f aca="false">IF(P29="","",RANK(P29,$P$2:$P$45))</f>
        <v/>
      </c>
      <c r="R29" s="18"/>
      <c r="S29" s="16" t="str">
        <f aca="false">IF(I29="","Pending",IF(I29="Exclude","Excluded at title/abstract",IF(V29="Y","Excluded: eligible by abstract, not assessed (E9)",IF(K29="","Pending full text",IF(K29="Exclude","Excluded at full text",IF(K29="Not retrieved","Not retrieved",IF(R29="Yes","Included",IF(R29="No","Excluded: eligible, not selected (E9)","Eligible - pending selection"))))))))</f>
        <v>Excluded at title/abstract</v>
      </c>
      <c r="T29" s="19"/>
      <c r="U29" s="20"/>
      <c r="V29" s="21"/>
    </row>
    <row r="30" customFormat="false" ht="165" hidden="false" customHeight="true" outlineLevel="0" collapsed="false">
      <c r="A30" s="16" t="n">
        <v>29</v>
      </c>
      <c r="B30" s="16" t="s">
        <v>245</v>
      </c>
      <c r="C30" s="16" t="n">
        <v>2025</v>
      </c>
      <c r="D30" s="16" t="s">
        <v>246</v>
      </c>
      <c r="E30" s="16" t="s">
        <v>247</v>
      </c>
      <c r="F30" s="16" t="s">
        <v>248</v>
      </c>
      <c r="G30" s="16" t="s">
        <v>104</v>
      </c>
      <c r="H30" s="16" t="s">
        <v>249</v>
      </c>
      <c r="I30" s="17" t="s">
        <v>112</v>
      </c>
      <c r="J30" s="17"/>
      <c r="K30" s="17"/>
      <c r="L30" s="17"/>
      <c r="M30" s="17"/>
      <c r="N30" s="17"/>
      <c r="O30" s="17"/>
      <c r="P30" s="16" t="str">
        <f aca="false">IF(K30="Eligible",IF(M30=1,1000,0)+IF(N30="Y",100,0)+IF(O30="Y",10,0)+(C30-2019)/10,"")</f>
        <v/>
      </c>
      <c r="Q30" s="16" t="str">
        <f aca="false">IF(P30="","",RANK(P30,$P$2:$P$45))</f>
        <v/>
      </c>
      <c r="R30" s="18"/>
      <c r="S30" s="16" t="str">
        <f aca="false">IF(I30="","Pending",IF(I30="Exclude","Excluded at title/abstract",IF(V30="Y","Excluded: eligible by abstract, not assessed (E9)",IF(K30="","Pending full text",IF(K30="Exclude","Excluded at full text",IF(K30="Not retrieved","Not retrieved",IF(R30="Yes","Included",IF(R30="No","Excluded: eligible, not selected (E9)","Eligible - pending selection"))))))))</f>
        <v>Pending full text</v>
      </c>
      <c r="T30" s="19"/>
      <c r="U30" s="20"/>
      <c r="V30" s="21"/>
    </row>
    <row r="31" customFormat="false" ht="165" hidden="false" customHeight="true" outlineLevel="0" collapsed="false">
      <c r="A31" s="16" t="n">
        <v>30</v>
      </c>
      <c r="B31" s="16" t="s">
        <v>250</v>
      </c>
      <c r="C31" s="16" t="n">
        <v>2026</v>
      </c>
      <c r="D31" s="16" t="s">
        <v>251</v>
      </c>
      <c r="E31" s="16" t="s">
        <v>252</v>
      </c>
      <c r="F31" s="16" t="s">
        <v>253</v>
      </c>
      <c r="G31" s="16" t="s">
        <v>104</v>
      </c>
      <c r="H31" s="16" t="s">
        <v>254</v>
      </c>
      <c r="I31" s="17" t="s">
        <v>112</v>
      </c>
      <c r="J31" s="17"/>
      <c r="K31" s="17"/>
      <c r="L31" s="17"/>
      <c r="M31" s="17"/>
      <c r="N31" s="17"/>
      <c r="O31" s="17"/>
      <c r="P31" s="16" t="str">
        <f aca="false">IF(K31="Eligible",IF(M31=1,1000,0)+IF(N31="Y",100,0)+IF(O31="Y",10,0)+(C31-2019)/10,"")</f>
        <v/>
      </c>
      <c r="Q31" s="16" t="str">
        <f aca="false">IF(P31="","",RANK(P31,$P$2:$P$45))</f>
        <v/>
      </c>
      <c r="R31" s="18"/>
      <c r="S31" s="16" t="str">
        <f aca="false">IF(I31="","Pending",IF(I31="Exclude","Excluded at title/abstract",IF(V31="Y","Excluded: eligible by abstract, not assessed (E9)",IF(K31="","Pending full text",IF(K31="Exclude","Excluded at full text",IF(K31="Not retrieved","Not retrieved",IF(R31="Yes","Included",IF(R31="No","Excluded: eligible, not selected (E9)","Eligible - pending selection"))))))))</f>
        <v>Pending full text</v>
      </c>
      <c r="T31" s="19"/>
      <c r="U31" s="20"/>
      <c r="V31" s="21"/>
    </row>
    <row r="32" customFormat="false" ht="165" hidden="false" customHeight="true" outlineLevel="0" collapsed="false">
      <c r="A32" s="16" t="n">
        <v>31</v>
      </c>
      <c r="B32" s="16" t="s">
        <v>255</v>
      </c>
      <c r="C32" s="16" t="n">
        <v>2025</v>
      </c>
      <c r="D32" s="16" t="s">
        <v>256</v>
      </c>
      <c r="E32" s="16" t="s">
        <v>257</v>
      </c>
      <c r="F32" s="16" t="s">
        <v>258</v>
      </c>
      <c r="G32" s="16" t="s">
        <v>104</v>
      </c>
      <c r="H32" s="16" t="s">
        <v>259</v>
      </c>
      <c r="I32" s="17" t="s">
        <v>112</v>
      </c>
      <c r="J32" s="17"/>
      <c r="K32" s="17"/>
      <c r="L32" s="17"/>
      <c r="M32" s="17"/>
      <c r="N32" s="17"/>
      <c r="O32" s="17"/>
      <c r="P32" s="16" t="str">
        <f aca="false">IF(K32="Eligible",IF(M32=1,1000,0)+IF(N32="Y",100,0)+IF(O32="Y",10,0)+(C32-2019)/10,"")</f>
        <v/>
      </c>
      <c r="Q32" s="16" t="str">
        <f aca="false">IF(P32="","",RANK(P32,$P$2:$P$45))</f>
        <v/>
      </c>
      <c r="R32" s="18"/>
      <c r="S32" s="16" t="str">
        <f aca="false">IF(I32="","Pending",IF(I32="Exclude","Excluded at title/abstract",IF(V32="Y","Excluded: eligible by abstract, not assessed (E9)",IF(K32="","Pending full text",IF(K32="Exclude","Excluded at full text",IF(K32="Not retrieved","Not retrieved",IF(R32="Yes","Included",IF(R32="No","Excluded: eligible, not selected (E9)","Eligible - pending selection"))))))))</f>
        <v>Pending full text</v>
      </c>
      <c r="T32" s="19"/>
      <c r="U32" s="20"/>
      <c r="V32" s="21"/>
    </row>
    <row r="33" customFormat="false" ht="165" hidden="false" customHeight="true" outlineLevel="0" collapsed="false">
      <c r="A33" s="16" t="n">
        <v>32</v>
      </c>
      <c r="B33" s="16" t="s">
        <v>260</v>
      </c>
      <c r="C33" s="16" t="n">
        <v>2026</v>
      </c>
      <c r="D33" s="16" t="s">
        <v>261</v>
      </c>
      <c r="E33" s="16" t="s">
        <v>262</v>
      </c>
      <c r="F33" s="16" t="s">
        <v>263</v>
      </c>
      <c r="G33" s="16" t="s">
        <v>104</v>
      </c>
      <c r="H33" s="16" t="s">
        <v>264</v>
      </c>
      <c r="I33" s="17" t="s">
        <v>112</v>
      </c>
      <c r="J33" s="17"/>
      <c r="K33" s="17"/>
      <c r="L33" s="17"/>
      <c r="M33" s="17"/>
      <c r="N33" s="17"/>
      <c r="O33" s="17"/>
      <c r="P33" s="16" t="str">
        <f aca="false">IF(K33="Eligible",IF(M33=1,1000,0)+IF(N33="Y",100,0)+IF(O33="Y",10,0)+(C33-2019)/10,"")</f>
        <v/>
      </c>
      <c r="Q33" s="16" t="str">
        <f aca="false">IF(P33="","",RANK(P33,$P$2:$P$45))</f>
        <v/>
      </c>
      <c r="R33" s="18"/>
      <c r="S33" s="16" t="str">
        <f aca="false">IF(I33="","Pending",IF(I33="Exclude","Excluded at title/abstract",IF(V33="Y","Excluded: eligible by abstract, not assessed (E9)",IF(K33="","Pending full text",IF(K33="Exclude","Excluded at full text",IF(K33="Not retrieved","Not retrieved",IF(R33="Yes","Included",IF(R33="No","Excluded: eligible, not selected (E9)","Eligible - pending selection"))))))))</f>
        <v>Pending full text</v>
      </c>
      <c r="T33" s="19"/>
      <c r="U33" s="20"/>
      <c r="V33" s="21"/>
    </row>
    <row r="34" customFormat="false" ht="165" hidden="false" customHeight="true" outlineLevel="0" collapsed="false">
      <c r="A34" s="16" t="n">
        <v>33</v>
      </c>
      <c r="B34" s="16" t="s">
        <v>265</v>
      </c>
      <c r="C34" s="16" t="n">
        <v>2026</v>
      </c>
      <c r="D34" s="16" t="s">
        <v>266</v>
      </c>
      <c r="E34" s="16" t="s">
        <v>267</v>
      </c>
      <c r="F34" s="16" t="s">
        <v>268</v>
      </c>
      <c r="G34" s="16" t="s">
        <v>104</v>
      </c>
      <c r="H34" s="16" t="s">
        <v>269</v>
      </c>
      <c r="I34" s="17" t="s">
        <v>112</v>
      </c>
      <c r="J34" s="17"/>
      <c r="K34" s="17"/>
      <c r="L34" s="17"/>
      <c r="M34" s="17"/>
      <c r="N34" s="17"/>
      <c r="O34" s="17"/>
      <c r="P34" s="16" t="str">
        <f aca="false">IF(K34="Eligible",IF(M34=1,1000,0)+IF(N34="Y",100,0)+IF(O34="Y",10,0)+(C34-2019)/10,"")</f>
        <v/>
      </c>
      <c r="Q34" s="16" t="str">
        <f aca="false">IF(P34="","",RANK(P34,$P$2:$P$45))</f>
        <v/>
      </c>
      <c r="R34" s="18"/>
      <c r="S34" s="16" t="str">
        <f aca="false">IF(I34="","Pending",IF(I34="Exclude","Excluded at title/abstract",IF(V34="Y","Excluded: eligible by abstract, not assessed (E9)",IF(K34="","Pending full text",IF(K34="Exclude","Excluded at full text",IF(K34="Not retrieved","Not retrieved",IF(R34="Yes","Included",IF(R34="No","Excluded: eligible, not selected (E9)","Eligible - pending selection"))))))))</f>
        <v>Pending full text</v>
      </c>
      <c r="T34" s="19"/>
      <c r="U34" s="20"/>
      <c r="V34" s="21"/>
    </row>
    <row r="35" customFormat="false" ht="165" hidden="false" customHeight="true" outlineLevel="0" collapsed="false">
      <c r="A35" s="16" t="n">
        <v>34</v>
      </c>
      <c r="B35" s="16" t="s">
        <v>270</v>
      </c>
      <c r="C35" s="16" t="n">
        <v>2026</v>
      </c>
      <c r="D35" s="16" t="s">
        <v>271</v>
      </c>
      <c r="E35" s="16" t="s">
        <v>272</v>
      </c>
      <c r="F35" s="16" t="s">
        <v>273</v>
      </c>
      <c r="G35" s="16" t="s">
        <v>104</v>
      </c>
      <c r="H35" s="16" t="s">
        <v>274</v>
      </c>
      <c r="I35" s="17" t="s">
        <v>112</v>
      </c>
      <c r="J35" s="17"/>
      <c r="K35" s="17"/>
      <c r="L35" s="17"/>
      <c r="M35" s="17"/>
      <c r="N35" s="17"/>
      <c r="O35" s="17"/>
      <c r="P35" s="16" t="str">
        <f aca="false">IF(K35="Eligible",IF(M35=1,1000,0)+IF(N35="Y",100,0)+IF(O35="Y",10,0)+(C35-2019)/10,"")</f>
        <v/>
      </c>
      <c r="Q35" s="16" t="str">
        <f aca="false">IF(P35="","",RANK(P35,$P$2:$P$45))</f>
        <v/>
      </c>
      <c r="R35" s="18"/>
      <c r="S35" s="16" t="str">
        <f aca="false">IF(I35="","Pending",IF(I35="Exclude","Excluded at title/abstract",IF(V35="Y","Excluded: eligible by abstract, not assessed (E9)",IF(K35="","Pending full text",IF(K35="Exclude","Excluded at full text",IF(K35="Not retrieved","Not retrieved",IF(R35="Yes","Included",IF(R35="No","Excluded: eligible, not selected (E9)","Eligible - pending selection"))))))))</f>
        <v>Pending full text</v>
      </c>
      <c r="T35" s="19"/>
      <c r="U35" s="20"/>
      <c r="V35" s="21"/>
    </row>
    <row r="36" customFormat="false" ht="165" hidden="false" customHeight="true" outlineLevel="0" collapsed="false">
      <c r="A36" s="16" t="n">
        <v>35</v>
      </c>
      <c r="B36" s="16" t="s">
        <v>275</v>
      </c>
      <c r="C36" s="16" t="n">
        <v>2026</v>
      </c>
      <c r="D36" s="16" t="s">
        <v>276</v>
      </c>
      <c r="E36" s="16" t="s">
        <v>262</v>
      </c>
      <c r="F36" s="16" t="s">
        <v>277</v>
      </c>
      <c r="G36" s="16" t="s">
        <v>104</v>
      </c>
      <c r="H36" s="16" t="s">
        <v>278</v>
      </c>
      <c r="I36" s="17" t="s">
        <v>112</v>
      </c>
      <c r="J36" s="17"/>
      <c r="K36" s="17"/>
      <c r="L36" s="17"/>
      <c r="M36" s="17"/>
      <c r="N36" s="17"/>
      <c r="O36" s="17"/>
      <c r="P36" s="16" t="str">
        <f aca="false">IF(K36="Eligible",IF(M36=1,1000,0)+IF(N36="Y",100,0)+IF(O36="Y",10,0)+(C36-2019)/10,"")</f>
        <v/>
      </c>
      <c r="Q36" s="16" t="str">
        <f aca="false">IF(P36="","",RANK(P36,$P$2:$P$45))</f>
        <v/>
      </c>
      <c r="R36" s="18"/>
      <c r="S36" s="16" t="str">
        <f aca="false">IF(I36="","Pending",IF(I36="Exclude","Excluded at title/abstract",IF(V36="Y","Excluded: eligible by abstract, not assessed (E9)",IF(K36="","Pending full text",IF(K36="Exclude","Excluded at full text",IF(K36="Not retrieved","Not retrieved",IF(R36="Yes","Included",IF(R36="No","Excluded: eligible, not selected (E9)","Eligible - pending selection"))))))))</f>
        <v>Pending full text</v>
      </c>
      <c r="T36" s="19"/>
      <c r="U36" s="20"/>
      <c r="V36" s="21"/>
    </row>
    <row r="37" customFormat="false" ht="165" hidden="false" customHeight="true" outlineLevel="0" collapsed="false">
      <c r="A37" s="16" t="n">
        <v>36</v>
      </c>
      <c r="B37" s="16" t="s">
        <v>279</v>
      </c>
      <c r="C37" s="16" t="n">
        <v>2025</v>
      </c>
      <c r="D37" s="16" t="s">
        <v>280</v>
      </c>
      <c r="E37" s="16" t="s">
        <v>281</v>
      </c>
      <c r="F37" s="16" t="s">
        <v>282</v>
      </c>
      <c r="G37" s="16" t="s">
        <v>104</v>
      </c>
      <c r="H37" s="16" t="s">
        <v>283</v>
      </c>
      <c r="I37" s="17" t="s">
        <v>112</v>
      </c>
      <c r="J37" s="17"/>
      <c r="K37" s="17"/>
      <c r="L37" s="17"/>
      <c r="M37" s="17"/>
      <c r="N37" s="17"/>
      <c r="O37" s="17"/>
      <c r="P37" s="16" t="str">
        <f aca="false">IF(K37="Eligible",IF(M37=1,1000,0)+IF(N37="Y",100,0)+IF(O37="Y",10,0)+(C37-2019)/10,"")</f>
        <v/>
      </c>
      <c r="Q37" s="16" t="str">
        <f aca="false">IF(P37="","",RANK(P37,$P$2:$P$45))</f>
        <v/>
      </c>
      <c r="R37" s="18"/>
      <c r="S37" s="16" t="str">
        <f aca="false">IF(I37="","Pending",IF(I37="Exclude","Excluded at title/abstract",IF(V37="Y","Excluded: eligible by abstract, not assessed (E9)",IF(K37="","Pending full text",IF(K37="Exclude","Excluded at full text",IF(K37="Not retrieved","Not retrieved",IF(R37="Yes","Included",IF(R37="No","Excluded: eligible, not selected (E9)","Eligible - pending selection"))))))))</f>
        <v>Pending full text</v>
      </c>
      <c r="T37" s="19"/>
      <c r="U37" s="20"/>
      <c r="V37" s="21"/>
    </row>
    <row r="38" customFormat="false" ht="165" hidden="false" customHeight="true" outlineLevel="0" collapsed="false">
      <c r="A38" s="16" t="n">
        <v>37</v>
      </c>
      <c r="B38" s="16" t="s">
        <v>284</v>
      </c>
      <c r="C38" s="16" t="n">
        <v>2026</v>
      </c>
      <c r="D38" s="16" t="s">
        <v>285</v>
      </c>
      <c r="E38" s="16" t="s">
        <v>152</v>
      </c>
      <c r="F38" s="16" t="s">
        <v>286</v>
      </c>
      <c r="G38" s="16" t="s">
        <v>104</v>
      </c>
      <c r="H38" s="16" t="s">
        <v>287</v>
      </c>
      <c r="I38" s="17" t="s">
        <v>112</v>
      </c>
      <c r="J38" s="17"/>
      <c r="K38" s="17" t="s">
        <v>288</v>
      </c>
      <c r="L38" s="17"/>
      <c r="M38" s="17" t="n">
        <v>1</v>
      </c>
      <c r="N38" s="17" t="s">
        <v>289</v>
      </c>
      <c r="O38" s="17" t="s">
        <v>128</v>
      </c>
      <c r="P38" s="16" t="n">
        <f aca="false">IF(K38="Eligible",IF(M38=1,1000,0)+IF(N38="Y",100,0)+IF(O38="Y",10,0)+(C38-2019)/10,"")</f>
        <v>1010.7</v>
      </c>
      <c r="Q38" s="16" t="n">
        <f aca="false">IF(P38="","",1+COUNTIF($P$2:$P$45,"&gt;"&amp;P38))</f>
        <v>1</v>
      </c>
      <c r="R38" s="18"/>
      <c r="S38" s="16" t="str">
        <f aca="false">IF(I38="","Pending",IF(I38="Exclude","Excluded at title/abstract",IF(V38="Y","Excluded: eligible by abstract, not assessed (E9)",IF(K38="","Pending full text",IF(K38="Exclude","Excluded at full text",IF(K38="Not retrieved","Not retrieved",IF(R38="Yes","Included",IF(R38="No","Excluded: eligible, not selected (E9)","Eligible - pending selection"))))))))</f>
        <v>Eligible - pending selection</v>
      </c>
      <c r="T38" s="19"/>
      <c r="U38" s="20"/>
      <c r="V38" s="21"/>
    </row>
    <row r="39" customFormat="false" ht="165" hidden="false" customHeight="true" outlineLevel="0" collapsed="false">
      <c r="A39" s="16" t="n">
        <v>38</v>
      </c>
      <c r="B39" s="16" t="s">
        <v>290</v>
      </c>
      <c r="C39" s="16" t="n">
        <v>2025</v>
      </c>
      <c r="D39" s="16" t="s">
        <v>291</v>
      </c>
      <c r="E39" s="16" t="s">
        <v>292</v>
      </c>
      <c r="F39" s="16" t="s">
        <v>293</v>
      </c>
      <c r="G39" s="16" t="s">
        <v>104</v>
      </c>
      <c r="H39" s="16" t="s">
        <v>294</v>
      </c>
      <c r="I39" s="17" t="s">
        <v>134</v>
      </c>
      <c r="J39" s="17" t="s">
        <v>64</v>
      </c>
      <c r="K39" s="17"/>
      <c r="L39" s="17"/>
      <c r="M39" s="17"/>
      <c r="N39" s="17"/>
      <c r="O39" s="17"/>
      <c r="P39" s="16" t="str">
        <f aca="false">IF(K39="Eligible",IF(M39=1,1000,0)+IF(N39="Y",100,0)+IF(O39="Y",10,0)+(C39-2019)/10,"")</f>
        <v/>
      </c>
      <c r="Q39" s="16" t="str">
        <f aca="false">IF(P39="","",RANK(P39,$P$2:$P$45))</f>
        <v/>
      </c>
      <c r="R39" s="18"/>
      <c r="S39" s="16" t="str">
        <f aca="false">IF(I39="","Pending",IF(I39="Exclude","Excluded at title/abstract",IF(V39="Y","Excluded: eligible by abstract, not assessed (E9)",IF(K39="","Pending full text",IF(K39="Exclude","Excluded at full text",IF(K39="Not retrieved","Not retrieved",IF(R39="Yes","Included",IF(R39="No","Excluded: eligible, not selected (E9)","Eligible - pending selection"))))))))</f>
        <v>Excluded at title/abstract</v>
      </c>
      <c r="T39" s="19" t="s">
        <v>128</v>
      </c>
      <c r="U39" s="21"/>
      <c r="V39" s="21"/>
    </row>
    <row r="40" customFormat="false" ht="165" hidden="false" customHeight="true" outlineLevel="0" collapsed="false">
      <c r="A40" s="16" t="n">
        <v>39</v>
      </c>
      <c r="B40" s="16" t="s">
        <v>295</v>
      </c>
      <c r="C40" s="16" t="n">
        <v>2026</v>
      </c>
      <c r="D40" s="16" t="s">
        <v>296</v>
      </c>
      <c r="E40" s="16" t="s">
        <v>297</v>
      </c>
      <c r="F40" s="16" t="s">
        <v>298</v>
      </c>
      <c r="G40" s="16" t="s">
        <v>104</v>
      </c>
      <c r="H40" s="16" t="s">
        <v>299</v>
      </c>
      <c r="I40" s="17" t="s">
        <v>112</v>
      </c>
      <c r="J40" s="17"/>
      <c r="K40" s="17"/>
      <c r="L40" s="17"/>
      <c r="M40" s="17"/>
      <c r="N40" s="17"/>
      <c r="O40" s="17"/>
      <c r="P40" s="16" t="str">
        <f aca="false">IF(K40="Eligible",IF(M40=1,1000,0)+IF(N40="Y",100,0)+IF(O40="Y",10,0)+(C40-2019)/10,"")</f>
        <v/>
      </c>
      <c r="Q40" s="16" t="str">
        <f aca="false">IF(P40="","",RANK(P40,$P$2:$P$45))</f>
        <v/>
      </c>
      <c r="R40" s="18"/>
      <c r="S40" s="16" t="str">
        <f aca="false">IF(I40="","Pending",IF(I40="Exclude","Excluded at title/abstract",IF(V40="Y","Excluded: eligible by abstract, not assessed (E9)",IF(K40="","Pending full text",IF(K40="Exclude","Excluded at full text",IF(K40="Not retrieved","Not retrieved",IF(R40="Yes","Included",IF(R40="No","Excluded: eligible, not selected (E9)","Eligible - pending selection"))))))))</f>
        <v>Pending full text</v>
      </c>
      <c r="T40" s="19"/>
      <c r="U40" s="20"/>
      <c r="V40" s="21"/>
    </row>
    <row r="41" customFormat="false" ht="165" hidden="false" customHeight="true" outlineLevel="0" collapsed="false">
      <c r="A41" s="16" t="n">
        <v>40</v>
      </c>
      <c r="B41" s="16" t="s">
        <v>300</v>
      </c>
      <c r="C41" s="16" t="n">
        <v>2025</v>
      </c>
      <c r="D41" s="16" t="s">
        <v>301</v>
      </c>
      <c r="E41" s="16" t="s">
        <v>198</v>
      </c>
      <c r="F41" s="16" t="s">
        <v>302</v>
      </c>
      <c r="G41" s="16" t="s">
        <v>104</v>
      </c>
      <c r="H41" s="16" t="s">
        <v>303</v>
      </c>
      <c r="I41" s="17" t="s">
        <v>112</v>
      </c>
      <c r="J41" s="17"/>
      <c r="K41" s="17"/>
      <c r="L41" s="17"/>
      <c r="M41" s="17"/>
      <c r="N41" s="17"/>
      <c r="O41" s="17"/>
      <c r="P41" s="16" t="str">
        <f aca="false">IF(K41="Eligible",IF(M41=1,1000,0)+IF(N41="Y",100,0)+IF(O41="Y",10,0)+(C41-2019)/10,"")</f>
        <v/>
      </c>
      <c r="Q41" s="16" t="str">
        <f aca="false">IF(P41="","",RANK(P41,$P$2:$P$45))</f>
        <v/>
      </c>
      <c r="R41" s="18"/>
      <c r="S41" s="16" t="str">
        <f aca="false">IF(I41="","Pending",IF(I41="Exclude","Excluded at title/abstract",IF(V41="Y","Excluded: eligible by abstract, not assessed (E9)",IF(K41="","Pending full text",IF(K41="Exclude","Excluded at full text",IF(K41="Not retrieved","Not retrieved",IF(R41="Yes","Included",IF(R41="No","Excluded: eligible, not selected (E9)","Eligible - pending selection"))))))))</f>
        <v>Pending full text</v>
      </c>
      <c r="T41" s="19"/>
      <c r="U41" s="20"/>
      <c r="V41" s="21"/>
    </row>
    <row r="42" customFormat="false" ht="165" hidden="false" customHeight="true" outlineLevel="0" collapsed="false">
      <c r="A42" s="16" t="n">
        <v>41</v>
      </c>
      <c r="B42" s="16" t="s">
        <v>304</v>
      </c>
      <c r="C42" s="16" t="n">
        <v>2026</v>
      </c>
      <c r="D42" s="16" t="s">
        <v>305</v>
      </c>
      <c r="E42" s="16" t="s">
        <v>306</v>
      </c>
      <c r="F42" s="16" t="s">
        <v>307</v>
      </c>
      <c r="G42" s="16" t="s">
        <v>104</v>
      </c>
      <c r="H42" s="16" t="s">
        <v>308</v>
      </c>
      <c r="I42" s="17" t="s">
        <v>112</v>
      </c>
      <c r="J42" s="17"/>
      <c r="K42" s="17"/>
      <c r="L42" s="17"/>
      <c r="M42" s="17"/>
      <c r="N42" s="17"/>
      <c r="O42" s="17"/>
      <c r="P42" s="16" t="str">
        <f aca="false">IF(K42="Eligible",IF(M42=1,1000,0)+IF(N42="Y",100,0)+IF(O42="Y",10,0)+(C42-2019)/10,"")</f>
        <v/>
      </c>
      <c r="Q42" s="16" t="str">
        <f aca="false">IF(P42="","",RANK(P42,$P$2:$P$45))</f>
        <v/>
      </c>
      <c r="R42" s="18"/>
      <c r="S42" s="16" t="str">
        <f aca="false">IF(I42="","Pending",IF(I42="Exclude","Excluded at title/abstract",IF(V42="Y","Excluded: eligible by abstract, not assessed (E9)",IF(K42="","Pending full text",IF(K42="Exclude","Excluded at full text",IF(K42="Not retrieved","Not retrieved",IF(R42="Yes","Included",IF(R42="No","Excluded: eligible, not selected (E9)","Eligible - pending selection"))))))))</f>
        <v>Pending full text</v>
      </c>
      <c r="T42" s="19"/>
      <c r="U42" s="20"/>
      <c r="V42" s="21"/>
    </row>
    <row r="43" customFormat="false" ht="165" hidden="false" customHeight="true" outlineLevel="0" collapsed="false">
      <c r="A43" s="16" t="n">
        <v>42</v>
      </c>
      <c r="B43" s="16" t="s">
        <v>309</v>
      </c>
      <c r="C43" s="16" t="n">
        <v>2026</v>
      </c>
      <c r="D43" s="16" t="s">
        <v>310</v>
      </c>
      <c r="E43" s="16" t="s">
        <v>306</v>
      </c>
      <c r="F43" s="16" t="s">
        <v>311</v>
      </c>
      <c r="G43" s="16" t="s">
        <v>104</v>
      </c>
      <c r="H43" s="16" t="s">
        <v>312</v>
      </c>
      <c r="I43" s="17" t="s">
        <v>112</v>
      </c>
      <c r="J43" s="17"/>
      <c r="K43" s="17"/>
      <c r="L43" s="17"/>
      <c r="M43" s="17"/>
      <c r="N43" s="17"/>
      <c r="O43" s="17"/>
      <c r="P43" s="16" t="str">
        <f aca="false">IF(K43="Eligible",IF(M43=1,1000,0)+IF(N43="Y",100,0)+IF(O43="Y",10,0)+(C43-2019)/10,"")</f>
        <v/>
      </c>
      <c r="Q43" s="16" t="str">
        <f aca="false">IF(P43="","",RANK(P43,$P$2:$P$45))</f>
        <v/>
      </c>
      <c r="R43" s="18"/>
      <c r="S43" s="16" t="str">
        <f aca="false">IF(I43="","Pending",IF(I43="Exclude","Excluded at title/abstract",IF(V43="Y","Excluded: eligible by abstract, not assessed (E9)",IF(K43="","Pending full text",IF(K43="Exclude","Excluded at full text",IF(K43="Not retrieved","Not retrieved",IF(R43="Yes","Included",IF(R43="No","Excluded: eligible, not selected (E9)","Eligible - pending selection"))))))))</f>
        <v>Pending full text</v>
      </c>
      <c r="T43" s="19" t="s">
        <v>128</v>
      </c>
      <c r="U43" s="21"/>
      <c r="V43" s="21"/>
    </row>
    <row r="44" customFormat="false" ht="165" hidden="false" customHeight="true" outlineLevel="0" collapsed="false">
      <c r="A44" s="16" t="n">
        <v>43</v>
      </c>
      <c r="B44" s="16" t="s">
        <v>313</v>
      </c>
      <c r="C44" s="16" t="n">
        <v>2026</v>
      </c>
      <c r="D44" s="16" t="s">
        <v>314</v>
      </c>
      <c r="E44" s="16" t="s">
        <v>315</v>
      </c>
      <c r="F44" s="16" t="s">
        <v>316</v>
      </c>
      <c r="G44" s="16" t="s">
        <v>104</v>
      </c>
      <c r="H44" s="16" t="s">
        <v>317</v>
      </c>
      <c r="I44" s="17" t="s">
        <v>112</v>
      </c>
      <c r="J44" s="17"/>
      <c r="K44" s="17"/>
      <c r="L44" s="17"/>
      <c r="M44" s="17"/>
      <c r="N44" s="17"/>
      <c r="O44" s="17"/>
      <c r="P44" s="16" t="str">
        <f aca="false">IF(K44="Eligible",IF(M44=1,1000,0)+IF(N44="Y",100,0)+IF(O44="Y",10,0)+(C44-2019)/10,"")</f>
        <v/>
      </c>
      <c r="Q44" s="16" t="str">
        <f aca="false">IF(P44="","",RANK(P44,$P$2:$P$45))</f>
        <v/>
      </c>
      <c r="R44" s="18"/>
      <c r="S44" s="16" t="str">
        <f aca="false">IF(I44="","Pending",IF(I44="Exclude","Excluded at title/abstract",IF(V44="Y","Excluded: eligible by abstract, not assessed (E9)",IF(K44="","Pending full text",IF(K44="Exclude","Excluded at full text",IF(K44="Not retrieved","Not retrieved",IF(R44="Yes","Included",IF(R44="No","Excluded: eligible, not selected (E9)","Eligible - pending selection"))))))))</f>
        <v>Pending full text</v>
      </c>
      <c r="T44" s="19"/>
      <c r="U44" s="20"/>
      <c r="V44" s="21"/>
    </row>
    <row r="45" customFormat="false" ht="165" hidden="false" customHeight="true" outlineLevel="0" collapsed="false">
      <c r="A45" s="16" t="n">
        <v>44</v>
      </c>
      <c r="B45" s="16" t="s">
        <v>318</v>
      </c>
      <c r="C45" s="16" t="n">
        <v>2024</v>
      </c>
      <c r="D45" s="16" t="s">
        <v>319</v>
      </c>
      <c r="E45" s="16" t="s">
        <v>320</v>
      </c>
      <c r="F45" s="16" t="s">
        <v>321</v>
      </c>
      <c r="G45" s="16" t="s">
        <v>104</v>
      </c>
      <c r="H45" s="16" t="s">
        <v>322</v>
      </c>
      <c r="I45" s="17" t="s">
        <v>134</v>
      </c>
      <c r="J45" s="17" t="s">
        <v>64</v>
      </c>
      <c r="K45" s="17"/>
      <c r="L45" s="17"/>
      <c r="M45" s="17"/>
      <c r="N45" s="17"/>
      <c r="O45" s="17"/>
      <c r="P45" s="16" t="str">
        <f aca="false">IF(K45="Eligible",IF(M45=1,1000,0)+IF(N45="Y",100,0)+IF(O45="Y",10,0)+(C45-2019)/10,"")</f>
        <v/>
      </c>
      <c r="Q45" s="16" t="str">
        <f aca="false">IF(P45="","",RANK(P45,$P$2:$P$45))</f>
        <v/>
      </c>
      <c r="R45" s="18"/>
      <c r="S45" s="16" t="str">
        <f aca="false">IF(I45="","Pending",IF(I45="Exclude","Excluded at title/abstract",IF(V45="Y","Excluded: eligible by abstract, not assessed (E9)",IF(K45="","Pending full text",IF(K45="Exclude","Excluded at full text",IF(K45="Not retrieved","Not retrieved",IF(R45="Yes","Included",IF(R45="No","Excluded: eligible, not selected (E9)","Eligible - pending selection"))))))))</f>
        <v>Excluded at title/abstract</v>
      </c>
      <c r="T45" s="19"/>
      <c r="U45" s="20"/>
      <c r="V45" s="21"/>
    </row>
  </sheetData>
  <dataValidations count="9">
    <dataValidation allowBlank="true" errorStyle="stop" operator="between" showDropDown="false" showErrorMessage="false" showInputMessage="false" sqref="I2:I45" type="list">
      <formula1>"Include,Maybe,Exclude"</formula1>
      <formula2>0</formula2>
    </dataValidation>
    <dataValidation allowBlank="true" errorStyle="stop" operator="between" showDropDown="false" showErrorMessage="false" showInputMessage="false" sqref="J2:J45" type="list">
      <formula1>"E1,E2,E3,E4,E5,E6,E8"</formula1>
      <formula2>0</formula2>
    </dataValidation>
    <dataValidation allowBlank="true" errorStyle="stop" operator="between" showDropDown="false" showErrorMessage="false" showInputMessage="false" sqref="K2:K45" type="list">
      <formula1>"Eligible,Exclude,Not retrieved"</formula1>
      <formula2>0</formula2>
    </dataValidation>
    <dataValidation allowBlank="true" errorStyle="stop" operator="between" showDropDown="false" showErrorMessage="false" showInputMessage="false" sqref="L2:L45" type="list">
      <formula1>"E1,E2,E3,E4,E5,E6,E7,E8"</formula1>
      <formula2>0</formula2>
    </dataValidation>
    <dataValidation allowBlank="true" errorStyle="stop" operator="between" showDropDown="false" showErrorMessage="false" showInputMessage="false" sqref="M2:M45" type="list">
      <formula1>"1,2"</formula1>
      <formula2>0</formula2>
    </dataValidation>
    <dataValidation allowBlank="true" errorStyle="stop" operator="between" showDropDown="false" showErrorMessage="false" showInputMessage="false" sqref="N2:O45" type="list">
      <formula1>"Y,N"</formula1>
      <formula2>0</formula2>
    </dataValidation>
    <dataValidation allowBlank="true" errorStyle="stop" operator="between" showDropDown="false" showErrorMessage="false" showInputMessage="false" sqref="R2:R45" type="list">
      <formula1>"Yes,No"</formula1>
      <formula2>0</formula2>
    </dataValidation>
    <dataValidation allowBlank="true" errorStyle="stop" operator="between" showDropDown="false" showErrorMessage="false" showInputMessage="false" sqref="U2:U45" type="list">
      <formula1>"Agree,Disagree"</formula1>
      <formula2>0</formula2>
    </dataValidation>
    <dataValidation allowBlank="true" errorStyle="stop" operator="between" showDropDown="false" showErrorMessage="false" showInputMessage="false" sqref="V2:V45" type="list">
      <formula1>"Y"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60"/>
    <col collapsed="false" customWidth="true" hidden="false" outlineLevel="0" max="3" min="3" style="1" width="14"/>
    <col collapsed="false" customWidth="true" hidden="false" outlineLevel="0" max="5" min="4" style="1" width="10"/>
    <col collapsed="false" customWidth="true" hidden="false" outlineLevel="0" max="6" min="6" style="1" width="90"/>
    <col collapsed="false" customWidth="true" hidden="false" outlineLevel="0" max="7" min="7" style="1" width="10"/>
    <col collapsed="false" customWidth="true" hidden="false" outlineLevel="0" max="8" min="8" style="1" width="14"/>
    <col collapsed="false" customWidth="true" hidden="false" outlineLevel="0" max="9" min="9" style="1" width="10"/>
  </cols>
  <sheetData>
    <row r="1" customFormat="false" ht="23.25" hidden="false" customHeight="true" outlineLevel="0" collapsed="false">
      <c r="A1" s="7" t="s">
        <v>78</v>
      </c>
      <c r="B1" s="7" t="s">
        <v>81</v>
      </c>
      <c r="C1" s="7" t="s">
        <v>323</v>
      </c>
      <c r="D1" s="7" t="s">
        <v>324</v>
      </c>
      <c r="E1" s="7" t="s">
        <v>325</v>
      </c>
      <c r="F1" s="7" t="s">
        <v>326</v>
      </c>
      <c r="G1" s="22"/>
      <c r="H1" s="22"/>
      <c r="I1" s="22"/>
    </row>
    <row r="2" customFormat="false" ht="48" hidden="false" customHeight="true" outlineLevel="0" collapsed="false">
      <c r="A2" s="16" t="n">
        <v>1</v>
      </c>
      <c r="B2" s="16" t="s">
        <v>101</v>
      </c>
      <c r="C2" s="16" t="s">
        <v>106</v>
      </c>
      <c r="D2" s="16"/>
      <c r="E2" s="16" t="n">
        <v>2</v>
      </c>
      <c r="F2" s="16" t="s">
        <v>327</v>
      </c>
      <c r="G2" s="23"/>
      <c r="H2" s="23"/>
      <c r="I2" s="23"/>
    </row>
    <row r="3" customFormat="false" ht="48" hidden="false" customHeight="true" outlineLevel="0" collapsed="false">
      <c r="A3" s="16" t="n">
        <v>2</v>
      </c>
      <c r="B3" s="16" t="s">
        <v>108</v>
      </c>
      <c r="C3" s="16" t="s">
        <v>112</v>
      </c>
      <c r="D3" s="16"/>
      <c r="E3" s="16" t="n">
        <v>2</v>
      </c>
      <c r="F3" s="16" t="s">
        <v>328</v>
      </c>
      <c r="G3" s="23"/>
      <c r="H3" s="23"/>
      <c r="I3" s="23"/>
    </row>
    <row r="4" customFormat="false" ht="48" hidden="false" customHeight="true" outlineLevel="0" collapsed="false">
      <c r="A4" s="16" t="n">
        <v>3</v>
      </c>
      <c r="B4" s="16" t="s">
        <v>114</v>
      </c>
      <c r="C4" s="16" t="s">
        <v>106</v>
      </c>
      <c r="D4" s="16"/>
      <c r="E4" s="16" t="n">
        <v>2</v>
      </c>
      <c r="F4" s="16" t="s">
        <v>329</v>
      </c>
      <c r="G4" s="23"/>
      <c r="H4" s="23"/>
      <c r="I4" s="23"/>
    </row>
    <row r="5" customFormat="false" ht="48" hidden="false" customHeight="true" outlineLevel="0" collapsed="false">
      <c r="A5" s="16" t="n">
        <v>4</v>
      </c>
      <c r="B5" s="16" t="s">
        <v>119</v>
      </c>
      <c r="C5" s="16" t="s">
        <v>112</v>
      </c>
      <c r="D5" s="16"/>
      <c r="E5" s="16" t="n">
        <v>2</v>
      </c>
      <c r="F5" s="16" t="s">
        <v>330</v>
      </c>
      <c r="G5" s="23"/>
      <c r="H5" s="23"/>
      <c r="I5" s="23"/>
    </row>
    <row r="6" customFormat="false" ht="48" hidden="false" customHeight="true" outlineLevel="0" collapsed="false">
      <c r="A6" s="16" t="n">
        <v>5</v>
      </c>
      <c r="B6" s="16" t="s">
        <v>124</v>
      </c>
      <c r="C6" s="16" t="s">
        <v>112</v>
      </c>
      <c r="D6" s="16"/>
      <c r="E6" s="16" t="n">
        <v>2</v>
      </c>
      <c r="F6" s="16" t="s">
        <v>331</v>
      </c>
      <c r="G6" s="23"/>
      <c r="H6" s="23"/>
      <c r="I6" s="23"/>
    </row>
    <row r="7" customFormat="false" ht="48" hidden="false" customHeight="true" outlineLevel="0" collapsed="false">
      <c r="A7" s="16" t="n">
        <v>6</v>
      </c>
      <c r="B7" s="16" t="s">
        <v>130</v>
      </c>
      <c r="C7" s="16" t="s">
        <v>134</v>
      </c>
      <c r="D7" s="16" t="s">
        <v>62</v>
      </c>
      <c r="E7" s="16"/>
      <c r="F7" s="16" t="s">
        <v>332</v>
      </c>
      <c r="G7" s="23"/>
      <c r="H7" s="23"/>
      <c r="I7" s="23"/>
    </row>
    <row r="8" customFormat="false" ht="48" hidden="false" customHeight="true" outlineLevel="0" collapsed="false">
      <c r="A8" s="16" t="n">
        <v>7</v>
      </c>
      <c r="B8" s="16" t="s">
        <v>136</v>
      </c>
      <c r="C8" s="16" t="s">
        <v>106</v>
      </c>
      <c r="D8" s="16"/>
      <c r="E8" s="16" t="n">
        <v>2</v>
      </c>
      <c r="F8" s="16" t="s">
        <v>333</v>
      </c>
      <c r="G8" s="23"/>
      <c r="H8" s="23"/>
      <c r="I8" s="23"/>
    </row>
    <row r="9" customFormat="false" ht="48" hidden="false" customHeight="true" outlineLevel="0" collapsed="false">
      <c r="A9" s="16" t="n">
        <v>8</v>
      </c>
      <c r="B9" s="16" t="s">
        <v>141</v>
      </c>
      <c r="C9" s="16" t="s">
        <v>134</v>
      </c>
      <c r="D9" s="16" t="s">
        <v>64</v>
      </c>
      <c r="E9" s="16"/>
      <c r="F9" s="16" t="s">
        <v>334</v>
      </c>
      <c r="G9" s="23"/>
      <c r="H9" s="23"/>
      <c r="I9" s="23"/>
    </row>
    <row r="10" customFormat="false" ht="48" hidden="false" customHeight="true" outlineLevel="0" collapsed="false">
      <c r="A10" s="16" t="n">
        <v>9</v>
      </c>
      <c r="B10" s="16" t="s">
        <v>146</v>
      </c>
      <c r="C10" s="16" t="s">
        <v>112</v>
      </c>
      <c r="D10" s="16"/>
      <c r="E10" s="16" t="n">
        <v>2</v>
      </c>
      <c r="F10" s="16" t="s">
        <v>335</v>
      </c>
      <c r="G10" s="23"/>
      <c r="H10" s="23"/>
      <c r="I10" s="23"/>
    </row>
    <row r="11" customFormat="false" ht="48" hidden="false" customHeight="true" outlineLevel="0" collapsed="false">
      <c r="A11" s="16" t="n">
        <v>10</v>
      </c>
      <c r="B11" s="16" t="s">
        <v>151</v>
      </c>
      <c r="C11" s="16" t="s">
        <v>134</v>
      </c>
      <c r="D11" s="16" t="s">
        <v>64</v>
      </c>
      <c r="E11" s="16"/>
      <c r="F11" s="16" t="s">
        <v>336</v>
      </c>
      <c r="G11" s="23"/>
      <c r="H11" s="23"/>
      <c r="I11" s="23"/>
    </row>
    <row r="12" customFormat="false" ht="48" hidden="false" customHeight="true" outlineLevel="0" collapsed="false">
      <c r="A12" s="16" t="n">
        <v>11</v>
      </c>
      <c r="B12" s="16" t="s">
        <v>156</v>
      </c>
      <c r="C12" s="16" t="s">
        <v>134</v>
      </c>
      <c r="D12" s="16" t="s">
        <v>60</v>
      </c>
      <c r="E12" s="16"/>
      <c r="F12" s="16" t="s">
        <v>337</v>
      </c>
      <c r="G12" s="23"/>
      <c r="H12" s="23"/>
      <c r="I12" s="23"/>
    </row>
    <row r="13" customFormat="false" ht="48" hidden="false" customHeight="true" outlineLevel="0" collapsed="false">
      <c r="A13" s="16" t="n">
        <v>12</v>
      </c>
      <c r="B13" s="16" t="s">
        <v>162</v>
      </c>
      <c r="C13" s="16" t="s">
        <v>134</v>
      </c>
      <c r="D13" s="16" t="s">
        <v>68</v>
      </c>
      <c r="E13" s="16"/>
      <c r="F13" s="16" t="s">
        <v>338</v>
      </c>
      <c r="G13" s="23"/>
      <c r="H13" s="23"/>
      <c r="I13" s="23"/>
    </row>
    <row r="14" customFormat="false" ht="48" hidden="false" customHeight="true" outlineLevel="0" collapsed="false">
      <c r="A14" s="16" t="n">
        <v>13</v>
      </c>
      <c r="B14" s="16" t="s">
        <v>167</v>
      </c>
      <c r="C14" s="16" t="s">
        <v>112</v>
      </c>
      <c r="D14" s="16"/>
      <c r="E14" s="16" t="n">
        <v>2</v>
      </c>
      <c r="F14" s="16" t="s">
        <v>339</v>
      </c>
      <c r="G14" s="23"/>
      <c r="H14" s="23"/>
      <c r="I14" s="23"/>
    </row>
    <row r="15" customFormat="false" ht="48" hidden="false" customHeight="true" outlineLevel="0" collapsed="false">
      <c r="A15" s="16" t="n">
        <v>14</v>
      </c>
      <c r="B15" s="16" t="s">
        <v>172</v>
      </c>
      <c r="C15" s="16" t="s">
        <v>112</v>
      </c>
      <c r="D15" s="16"/>
      <c r="E15" s="16" t="n">
        <v>2</v>
      </c>
      <c r="F15" s="16" t="s">
        <v>340</v>
      </c>
      <c r="G15" s="23"/>
      <c r="H15" s="23"/>
      <c r="I15" s="23"/>
    </row>
    <row r="16" customFormat="false" ht="48" hidden="false" customHeight="true" outlineLevel="0" collapsed="false">
      <c r="A16" s="16" t="n">
        <v>15</v>
      </c>
      <c r="B16" s="16" t="s">
        <v>177</v>
      </c>
      <c r="C16" s="16" t="s">
        <v>112</v>
      </c>
      <c r="D16" s="16"/>
      <c r="E16" s="16" t="n">
        <v>2</v>
      </c>
      <c r="F16" s="16" t="s">
        <v>341</v>
      </c>
      <c r="G16" s="23"/>
      <c r="H16" s="23"/>
      <c r="I16" s="23"/>
    </row>
    <row r="17" customFormat="false" ht="48" hidden="false" customHeight="true" outlineLevel="0" collapsed="false">
      <c r="A17" s="16" t="n">
        <v>16</v>
      </c>
      <c r="B17" s="16" t="s">
        <v>182</v>
      </c>
      <c r="C17" s="16" t="s">
        <v>134</v>
      </c>
      <c r="D17" s="16" t="s">
        <v>66</v>
      </c>
      <c r="E17" s="16"/>
      <c r="F17" s="16" t="s">
        <v>342</v>
      </c>
      <c r="G17" s="23"/>
      <c r="H17" s="23"/>
      <c r="I17" s="23"/>
    </row>
    <row r="18" customFormat="false" ht="48" hidden="false" customHeight="true" outlineLevel="0" collapsed="false">
      <c r="A18" s="16" t="n">
        <v>17</v>
      </c>
      <c r="B18" s="16" t="s">
        <v>187</v>
      </c>
      <c r="C18" s="16" t="s">
        <v>134</v>
      </c>
      <c r="D18" s="16" t="s">
        <v>64</v>
      </c>
      <c r="E18" s="16"/>
      <c r="F18" s="16" t="s">
        <v>343</v>
      </c>
      <c r="G18" s="23"/>
      <c r="H18" s="23"/>
      <c r="I18" s="23"/>
    </row>
    <row r="19" customFormat="false" ht="48" hidden="false" customHeight="true" outlineLevel="0" collapsed="false">
      <c r="A19" s="16" t="n">
        <v>18</v>
      </c>
      <c r="B19" s="16" t="s">
        <v>192</v>
      </c>
      <c r="C19" s="16" t="s">
        <v>134</v>
      </c>
      <c r="D19" s="16" t="s">
        <v>64</v>
      </c>
      <c r="E19" s="16"/>
      <c r="F19" s="16" t="s">
        <v>344</v>
      </c>
      <c r="G19" s="23"/>
      <c r="H19" s="23"/>
      <c r="I19" s="23"/>
    </row>
    <row r="20" customFormat="false" ht="48" hidden="false" customHeight="true" outlineLevel="0" collapsed="false">
      <c r="A20" s="16" t="n">
        <v>19</v>
      </c>
      <c r="B20" s="16" t="s">
        <v>197</v>
      </c>
      <c r="C20" s="16" t="s">
        <v>106</v>
      </c>
      <c r="D20" s="16"/>
      <c r="E20" s="16" t="n">
        <v>2</v>
      </c>
      <c r="F20" s="16" t="s">
        <v>345</v>
      </c>
      <c r="G20" s="23"/>
      <c r="H20" s="23"/>
      <c r="I20" s="23"/>
    </row>
    <row r="21" customFormat="false" ht="48" hidden="false" customHeight="true" outlineLevel="0" collapsed="false">
      <c r="A21" s="16" t="n">
        <v>20</v>
      </c>
      <c r="B21" s="16" t="s">
        <v>202</v>
      </c>
      <c r="C21" s="16" t="s">
        <v>134</v>
      </c>
      <c r="D21" s="16" t="s">
        <v>68</v>
      </c>
      <c r="E21" s="16"/>
      <c r="F21" s="16" t="s">
        <v>346</v>
      </c>
      <c r="G21" s="23"/>
      <c r="H21" s="23"/>
      <c r="I21" s="23"/>
    </row>
    <row r="22" customFormat="false" ht="48" hidden="false" customHeight="true" outlineLevel="0" collapsed="false">
      <c r="A22" s="16" t="n">
        <v>21</v>
      </c>
      <c r="B22" s="16" t="s">
        <v>207</v>
      </c>
      <c r="C22" s="16" t="s">
        <v>112</v>
      </c>
      <c r="D22" s="16"/>
      <c r="E22" s="16" t="n">
        <v>2</v>
      </c>
      <c r="F22" s="16" t="s">
        <v>347</v>
      </c>
      <c r="G22" s="23"/>
      <c r="H22" s="23"/>
      <c r="I22" s="23"/>
    </row>
    <row r="23" customFormat="false" ht="48" hidden="false" customHeight="true" outlineLevel="0" collapsed="false">
      <c r="A23" s="16" t="n">
        <v>22</v>
      </c>
      <c r="B23" s="16" t="s">
        <v>212</v>
      </c>
      <c r="C23" s="16" t="s">
        <v>134</v>
      </c>
      <c r="D23" s="16" t="s">
        <v>66</v>
      </c>
      <c r="E23" s="16"/>
      <c r="F23" s="16" t="s">
        <v>348</v>
      </c>
      <c r="G23" s="23"/>
      <c r="H23" s="23"/>
      <c r="I23" s="23"/>
    </row>
    <row r="24" customFormat="false" ht="48" hidden="false" customHeight="true" outlineLevel="0" collapsed="false">
      <c r="A24" s="16" t="n">
        <v>23</v>
      </c>
      <c r="B24" s="16" t="s">
        <v>217</v>
      </c>
      <c r="C24" s="16" t="s">
        <v>112</v>
      </c>
      <c r="D24" s="16"/>
      <c r="E24" s="16" t="n">
        <v>2</v>
      </c>
      <c r="F24" s="16" t="s">
        <v>349</v>
      </c>
      <c r="G24" s="23"/>
      <c r="H24" s="23"/>
      <c r="I24" s="23"/>
    </row>
    <row r="25" customFormat="false" ht="48" hidden="false" customHeight="true" outlineLevel="0" collapsed="false">
      <c r="A25" s="16" t="n">
        <v>24</v>
      </c>
      <c r="B25" s="16" t="s">
        <v>222</v>
      </c>
      <c r="C25" s="16" t="s">
        <v>134</v>
      </c>
      <c r="D25" s="16" t="s">
        <v>66</v>
      </c>
      <c r="E25" s="16"/>
      <c r="F25" s="16" t="s">
        <v>350</v>
      </c>
      <c r="G25" s="23"/>
      <c r="H25" s="23"/>
      <c r="I25" s="23"/>
    </row>
    <row r="26" customFormat="false" ht="48" hidden="false" customHeight="true" outlineLevel="0" collapsed="false">
      <c r="A26" s="16" t="n">
        <v>25</v>
      </c>
      <c r="B26" s="16" t="s">
        <v>227</v>
      </c>
      <c r="C26" s="16" t="s">
        <v>134</v>
      </c>
      <c r="D26" s="16" t="s">
        <v>58</v>
      </c>
      <c r="E26" s="16"/>
      <c r="F26" s="16" t="s">
        <v>351</v>
      </c>
      <c r="G26" s="23"/>
      <c r="H26" s="23"/>
      <c r="I26" s="23"/>
    </row>
    <row r="27" customFormat="false" ht="48" hidden="false" customHeight="true" outlineLevel="0" collapsed="false">
      <c r="A27" s="16" t="n">
        <v>26</v>
      </c>
      <c r="B27" s="16" t="s">
        <v>231</v>
      </c>
      <c r="C27" s="16" t="s">
        <v>112</v>
      </c>
      <c r="D27" s="16"/>
      <c r="E27" s="16" t="n">
        <v>2</v>
      </c>
      <c r="F27" s="16" t="s">
        <v>352</v>
      </c>
      <c r="G27" s="23"/>
      <c r="H27" s="23"/>
      <c r="I27" s="23"/>
    </row>
    <row r="28" customFormat="false" ht="48" hidden="false" customHeight="true" outlineLevel="0" collapsed="false">
      <c r="A28" s="16" t="n">
        <v>27</v>
      </c>
      <c r="B28" s="16" t="s">
        <v>236</v>
      </c>
      <c r="C28" s="16" t="s">
        <v>112</v>
      </c>
      <c r="D28" s="16"/>
      <c r="E28" s="16" t="n">
        <v>2</v>
      </c>
      <c r="F28" s="16" t="s">
        <v>353</v>
      </c>
      <c r="G28" s="23"/>
      <c r="H28" s="23"/>
      <c r="I28" s="23"/>
    </row>
    <row r="29" customFormat="false" ht="48" hidden="false" customHeight="true" outlineLevel="0" collapsed="false">
      <c r="A29" s="16" t="n">
        <v>28</v>
      </c>
      <c r="B29" s="16" t="s">
        <v>241</v>
      </c>
      <c r="C29" s="16" t="s">
        <v>134</v>
      </c>
      <c r="D29" s="16" t="s">
        <v>66</v>
      </c>
      <c r="E29" s="16"/>
      <c r="F29" s="16" t="s">
        <v>354</v>
      </c>
      <c r="G29" s="23"/>
      <c r="H29" s="23"/>
      <c r="I29" s="23"/>
    </row>
    <row r="30" customFormat="false" ht="48" hidden="false" customHeight="true" outlineLevel="0" collapsed="false">
      <c r="A30" s="16" t="n">
        <v>29</v>
      </c>
      <c r="B30" s="16" t="s">
        <v>246</v>
      </c>
      <c r="C30" s="16" t="s">
        <v>112</v>
      </c>
      <c r="D30" s="16"/>
      <c r="E30" s="16" t="n">
        <v>2</v>
      </c>
      <c r="F30" s="16" t="s">
        <v>355</v>
      </c>
      <c r="G30" s="23"/>
      <c r="H30" s="23"/>
      <c r="I30" s="23"/>
    </row>
    <row r="31" customFormat="false" ht="48" hidden="false" customHeight="true" outlineLevel="0" collapsed="false">
      <c r="A31" s="16" t="n">
        <v>30</v>
      </c>
      <c r="B31" s="16" t="s">
        <v>251</v>
      </c>
      <c r="C31" s="16" t="s">
        <v>112</v>
      </c>
      <c r="D31" s="16"/>
      <c r="E31" s="16" t="n">
        <v>2</v>
      </c>
      <c r="F31" s="16" t="s">
        <v>356</v>
      </c>
      <c r="G31" s="23"/>
      <c r="H31" s="23"/>
      <c r="I31" s="23"/>
    </row>
    <row r="32" customFormat="false" ht="48" hidden="false" customHeight="true" outlineLevel="0" collapsed="false">
      <c r="A32" s="16" t="n">
        <v>31</v>
      </c>
      <c r="B32" s="16" t="s">
        <v>256</v>
      </c>
      <c r="C32" s="16" t="s">
        <v>112</v>
      </c>
      <c r="D32" s="16"/>
      <c r="E32" s="16" t="n">
        <v>2</v>
      </c>
      <c r="F32" s="16" t="s">
        <v>357</v>
      </c>
      <c r="G32" s="23"/>
      <c r="H32" s="23"/>
      <c r="I32" s="23"/>
    </row>
    <row r="33" customFormat="false" ht="48" hidden="false" customHeight="true" outlineLevel="0" collapsed="false">
      <c r="A33" s="16" t="n">
        <v>32</v>
      </c>
      <c r="B33" s="16" t="s">
        <v>261</v>
      </c>
      <c r="C33" s="16" t="s">
        <v>112</v>
      </c>
      <c r="D33" s="16"/>
      <c r="E33" s="16" t="n">
        <v>2</v>
      </c>
      <c r="F33" s="16" t="s">
        <v>358</v>
      </c>
      <c r="G33" s="23"/>
      <c r="H33" s="23"/>
      <c r="I33" s="23"/>
    </row>
    <row r="34" customFormat="false" ht="48" hidden="false" customHeight="true" outlineLevel="0" collapsed="false">
      <c r="A34" s="16" t="n">
        <v>33</v>
      </c>
      <c r="B34" s="16" t="s">
        <v>266</v>
      </c>
      <c r="C34" s="16" t="s">
        <v>112</v>
      </c>
      <c r="D34" s="16"/>
      <c r="E34" s="16" t="n">
        <v>1</v>
      </c>
      <c r="F34" s="16" t="s">
        <v>359</v>
      </c>
      <c r="G34" s="23"/>
      <c r="H34" s="23"/>
      <c r="I34" s="23"/>
    </row>
    <row r="35" customFormat="false" ht="48" hidden="false" customHeight="true" outlineLevel="0" collapsed="false">
      <c r="A35" s="16" t="n">
        <v>34</v>
      </c>
      <c r="B35" s="16" t="s">
        <v>271</v>
      </c>
      <c r="C35" s="16" t="s">
        <v>112</v>
      </c>
      <c r="D35" s="16"/>
      <c r="E35" s="16" t="n">
        <v>2</v>
      </c>
      <c r="F35" s="16" t="s">
        <v>360</v>
      </c>
      <c r="G35" s="23"/>
      <c r="H35" s="23"/>
      <c r="I35" s="23"/>
    </row>
    <row r="36" customFormat="false" ht="48" hidden="false" customHeight="true" outlineLevel="0" collapsed="false">
      <c r="A36" s="16" t="n">
        <v>35</v>
      </c>
      <c r="B36" s="16" t="s">
        <v>276</v>
      </c>
      <c r="C36" s="16" t="s">
        <v>112</v>
      </c>
      <c r="D36" s="16"/>
      <c r="E36" s="16" t="n">
        <v>2</v>
      </c>
      <c r="F36" s="16" t="s">
        <v>361</v>
      </c>
      <c r="G36" s="23"/>
      <c r="H36" s="23"/>
      <c r="I36" s="23"/>
    </row>
    <row r="37" customFormat="false" ht="48" hidden="false" customHeight="true" outlineLevel="0" collapsed="false">
      <c r="A37" s="16" t="n">
        <v>36</v>
      </c>
      <c r="B37" s="16" t="s">
        <v>280</v>
      </c>
      <c r="C37" s="16" t="s">
        <v>112</v>
      </c>
      <c r="D37" s="16"/>
      <c r="E37" s="16" t="n">
        <v>2</v>
      </c>
      <c r="F37" s="16" t="s">
        <v>362</v>
      </c>
      <c r="G37" s="23"/>
      <c r="H37" s="23"/>
      <c r="I37" s="23"/>
    </row>
    <row r="38" customFormat="false" ht="48" hidden="false" customHeight="true" outlineLevel="0" collapsed="false">
      <c r="A38" s="16" t="n">
        <v>37</v>
      </c>
      <c r="B38" s="16" t="s">
        <v>285</v>
      </c>
      <c r="C38" s="16" t="s">
        <v>112</v>
      </c>
      <c r="D38" s="16"/>
      <c r="E38" s="16" t="n">
        <v>1</v>
      </c>
      <c r="F38" s="16" t="s">
        <v>363</v>
      </c>
      <c r="G38" s="23"/>
      <c r="H38" s="23"/>
      <c r="I38" s="23"/>
    </row>
    <row r="39" customFormat="false" ht="48" hidden="false" customHeight="true" outlineLevel="0" collapsed="false">
      <c r="A39" s="16" t="n">
        <v>38</v>
      </c>
      <c r="B39" s="16" t="s">
        <v>291</v>
      </c>
      <c r="C39" s="16" t="s">
        <v>134</v>
      </c>
      <c r="D39" s="16" t="s">
        <v>64</v>
      </c>
      <c r="E39" s="16"/>
      <c r="F39" s="16" t="s">
        <v>364</v>
      </c>
      <c r="G39" s="23"/>
      <c r="H39" s="23"/>
      <c r="I39" s="23"/>
    </row>
    <row r="40" customFormat="false" ht="48" hidden="false" customHeight="true" outlineLevel="0" collapsed="false">
      <c r="A40" s="16" t="n">
        <v>39</v>
      </c>
      <c r="B40" s="16" t="s">
        <v>296</v>
      </c>
      <c r="C40" s="16" t="s">
        <v>112</v>
      </c>
      <c r="D40" s="16"/>
      <c r="E40" s="16" t="n">
        <v>2</v>
      </c>
      <c r="F40" s="16" t="s">
        <v>365</v>
      </c>
      <c r="G40" s="23"/>
      <c r="H40" s="23"/>
      <c r="I40" s="23"/>
    </row>
    <row r="41" customFormat="false" ht="48" hidden="false" customHeight="true" outlineLevel="0" collapsed="false">
      <c r="A41" s="16" t="n">
        <v>40</v>
      </c>
      <c r="B41" s="16" t="s">
        <v>301</v>
      </c>
      <c r="C41" s="16" t="s">
        <v>112</v>
      </c>
      <c r="D41" s="16"/>
      <c r="E41" s="16" t="n">
        <v>2</v>
      </c>
      <c r="F41" s="16" t="s">
        <v>366</v>
      </c>
      <c r="G41" s="23"/>
      <c r="H41" s="23"/>
      <c r="I41" s="23"/>
    </row>
    <row r="42" customFormat="false" ht="48" hidden="false" customHeight="true" outlineLevel="0" collapsed="false">
      <c r="A42" s="16" t="n">
        <v>41</v>
      </c>
      <c r="B42" s="16" t="s">
        <v>305</v>
      </c>
      <c r="C42" s="16" t="s">
        <v>112</v>
      </c>
      <c r="D42" s="16"/>
      <c r="E42" s="16" t="n">
        <v>2</v>
      </c>
      <c r="F42" s="16" t="s">
        <v>367</v>
      </c>
      <c r="G42" s="23"/>
      <c r="H42" s="23"/>
      <c r="I42" s="23"/>
    </row>
    <row r="43" customFormat="false" ht="48" hidden="false" customHeight="true" outlineLevel="0" collapsed="false">
      <c r="A43" s="16" t="n">
        <v>42</v>
      </c>
      <c r="B43" s="16" t="s">
        <v>310</v>
      </c>
      <c r="C43" s="16" t="s">
        <v>112</v>
      </c>
      <c r="D43" s="16"/>
      <c r="E43" s="16" t="n">
        <v>2</v>
      </c>
      <c r="F43" s="16" t="s">
        <v>368</v>
      </c>
      <c r="G43" s="23"/>
      <c r="H43" s="23"/>
      <c r="I43" s="23"/>
    </row>
    <row r="44" customFormat="false" ht="48" hidden="false" customHeight="true" outlineLevel="0" collapsed="false">
      <c r="A44" s="16" t="n">
        <v>43</v>
      </c>
      <c r="B44" s="16" t="s">
        <v>314</v>
      </c>
      <c r="C44" s="16" t="s">
        <v>112</v>
      </c>
      <c r="D44" s="16"/>
      <c r="E44" s="16" t="n">
        <v>1</v>
      </c>
      <c r="F44" s="16" t="s">
        <v>369</v>
      </c>
      <c r="G44" s="23"/>
      <c r="H44" s="23"/>
      <c r="I44" s="23"/>
    </row>
    <row r="45" customFormat="false" ht="48" hidden="false" customHeight="true" outlineLevel="0" collapsed="false">
      <c r="A45" s="16" t="n">
        <v>44</v>
      </c>
      <c r="B45" s="16" t="s">
        <v>319</v>
      </c>
      <c r="C45" s="16" t="s">
        <v>134</v>
      </c>
      <c r="D45" s="16" t="s">
        <v>64</v>
      </c>
      <c r="E45" s="16"/>
      <c r="F45" s="16" t="s">
        <v>370</v>
      </c>
      <c r="G45" s="23"/>
      <c r="H45" s="23"/>
      <c r="I45" s="2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8"/>
  </cols>
  <sheetData>
    <row r="1" customFormat="false" ht="15" hidden="false" customHeight="true" outlineLevel="0" collapsed="false">
      <c r="A1" s="24" t="s">
        <v>371</v>
      </c>
      <c r="B1" s="25"/>
    </row>
    <row r="2" customFormat="false" ht="15" hidden="false" customHeight="true" outlineLevel="0" collapsed="false">
      <c r="A2" s="26" t="s">
        <v>372</v>
      </c>
      <c r="B2" s="26" t="n">
        <f aca="false">COUNTA('Screening (human)'!A2:A45)</f>
        <v>44</v>
      </c>
    </row>
    <row r="3" customFormat="false" ht="15" hidden="false" customHeight="true" outlineLevel="0" collapsed="false">
      <c r="A3" s="26" t="s">
        <v>373</v>
      </c>
      <c r="B3" s="26" t="n">
        <f aca="false">ROUNDUP(0.1*B2,0)</f>
        <v>5</v>
      </c>
    </row>
    <row r="4" customFormat="false" ht="15" hidden="false" customHeight="true" outlineLevel="0" collapsed="false">
      <c r="A4" s="26" t="s">
        <v>374</v>
      </c>
      <c r="B4" s="26" t="n">
        <f aca="false">COUNTIF('Screening (human)'!T2:T45,"Y")</f>
        <v>6</v>
      </c>
    </row>
    <row r="5" customFormat="false" ht="15" hidden="false" customHeight="true" outlineLevel="0" collapsed="false">
      <c r="A5" s="26" t="s">
        <v>375</v>
      </c>
      <c r="B5" s="26" t="n">
        <f aca="false">COUNTIF('Screening (human)'!U2:U45,"Agree")+COUNTIF('Screening (human)'!U2:U45,"Disagree")</f>
        <v>0</v>
      </c>
    </row>
    <row r="6" customFormat="false" ht="15" hidden="false" customHeight="true" outlineLevel="0" collapsed="false">
      <c r="A6" s="26" t="s">
        <v>376</v>
      </c>
      <c r="B6" s="26" t="n">
        <f aca="false">COUNTIF('Screening (human)'!U2:U45,"Agree")</f>
        <v>0</v>
      </c>
    </row>
    <row r="7" customFormat="false" ht="15" hidden="false" customHeight="true" outlineLevel="0" collapsed="false">
      <c r="A7" s="26" t="s">
        <v>377</v>
      </c>
      <c r="B7" s="26" t="n">
        <f aca="false">COUNTIF('Screening (human)'!U2:U45,"Disagree")</f>
        <v>0</v>
      </c>
    </row>
    <row r="8" customFormat="false" ht="15" hidden="false" customHeight="true" outlineLevel="0" collapsed="false">
      <c r="A8" s="26" t="s">
        <v>378</v>
      </c>
      <c r="B8" s="27" t="str">
        <f aca="false">IF(B5=0,"",B6/B5)</f>
        <v/>
      </c>
    </row>
    <row r="9" customFormat="false" ht="15" hidden="false" customHeight="true" outlineLevel="0" collapsed="false">
      <c r="A9" s="26" t="s">
        <v>379</v>
      </c>
      <c r="B9" s="26" t="str">
        <f aca="false">IF(AND(B4&gt;=B3,B5=B4),"OK","CHECK: complete column U")</f>
        <v>CHECK: complete column U</v>
      </c>
    </row>
    <row r="10" customFormat="false" ht="15" hidden="false" customHeight="true" outlineLevel="0" collapsed="false">
      <c r="A10" s="23"/>
      <c r="B10" s="28"/>
    </row>
    <row r="11" customFormat="false" ht="69.75" hidden="false" customHeight="true" outlineLevel="0" collapsed="false">
      <c r="A11" s="29" t="s">
        <v>380</v>
      </c>
      <c r="B11" s="29"/>
    </row>
    <row r="12" customFormat="false" ht="15" hidden="false" customHeight="true" outlineLevel="0" collapsed="false">
      <c r="A12" s="23"/>
      <c r="B12" s="28"/>
    </row>
    <row r="13" customFormat="false" ht="15" hidden="false" customHeight="true" outlineLevel="0" collapsed="false">
      <c r="A13" s="23"/>
      <c r="B13" s="30"/>
    </row>
    <row r="15" customFormat="false" ht="15" hidden="false" customHeight="true" outlineLevel="0" collapsed="false">
      <c r="A15" s="31"/>
    </row>
  </sheetData>
  <mergeCells count="1">
    <mergeCell ref="A11:B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4" width="72"/>
    <col collapsed="false" customWidth="true" hidden="false" outlineLevel="0" max="2" min="2" style="14" width="20"/>
    <col collapsed="false" customWidth="true" hidden="false" outlineLevel="0" max="3" min="3" style="14" width="60"/>
  </cols>
  <sheetData>
    <row r="1" customFormat="false" ht="15" hidden="false" customHeight="true" outlineLevel="0" collapsed="false">
      <c r="A1" s="32" t="s">
        <v>381</v>
      </c>
      <c r="B1" s="32" t="s">
        <v>382</v>
      </c>
      <c r="C1" s="32" t="s">
        <v>383</v>
      </c>
    </row>
    <row r="2" customFormat="false" ht="15" hidden="false" customHeight="true" outlineLevel="0" collapsed="false">
      <c r="A2" s="33" t="s">
        <v>384</v>
      </c>
      <c r="B2" s="33"/>
      <c r="C2" s="33"/>
    </row>
    <row r="3" customFormat="false" ht="15" hidden="false" customHeight="true" outlineLevel="0" collapsed="false">
      <c r="A3" s="34" t="s">
        <v>385</v>
      </c>
      <c r="B3" s="34" t="n">
        <f aca="false">COUNTA('Screening (human)'!A2:A45)</f>
        <v>44</v>
      </c>
      <c r="C3" s="34" t="s">
        <v>386</v>
      </c>
    </row>
    <row r="4" customFormat="false" ht="15" hidden="false" customHeight="true" outlineLevel="0" collapsed="false">
      <c r="A4" s="34" t="s">
        <v>387</v>
      </c>
      <c r="B4" s="35" t="n">
        <v>0</v>
      </c>
      <c r="C4" s="34" t="s">
        <v>388</v>
      </c>
    </row>
    <row r="5" customFormat="false" ht="15" hidden="false" customHeight="true" outlineLevel="0" collapsed="false">
      <c r="A5" s="34" t="s">
        <v>389</v>
      </c>
      <c r="B5" s="35" t="n">
        <v>0</v>
      </c>
      <c r="C5" s="34" t="s">
        <v>390</v>
      </c>
    </row>
    <row r="6" customFormat="false" ht="15" hidden="false" customHeight="true" outlineLevel="0" collapsed="false">
      <c r="A6" s="34" t="s">
        <v>391</v>
      </c>
      <c r="B6" s="35" t="n">
        <v>0</v>
      </c>
      <c r="C6" s="34" t="s">
        <v>392</v>
      </c>
    </row>
    <row r="7" customFormat="false" ht="15" hidden="false" customHeight="true" outlineLevel="0" collapsed="false">
      <c r="A7" s="33" t="s">
        <v>393</v>
      </c>
      <c r="B7" s="33"/>
      <c r="C7" s="33"/>
    </row>
    <row r="8" customFormat="false" ht="15" hidden="false" customHeight="true" outlineLevel="0" collapsed="false">
      <c r="A8" s="34" t="s">
        <v>394</v>
      </c>
      <c r="B8" s="34" t="n">
        <f aca="false">B3-B4-B5-B6</f>
        <v>44</v>
      </c>
      <c r="C8" s="34" t="s">
        <v>395</v>
      </c>
    </row>
    <row r="9" customFormat="false" ht="15" hidden="false" customHeight="true" outlineLevel="0" collapsed="false">
      <c r="A9" s="34" t="s">
        <v>396</v>
      </c>
      <c r="B9" s="34" t="n">
        <f aca="false">COUNTIFS('Screening (human)'!I2:I45,"Exclude",'Screening (human)'!J2:J45,"E1")</f>
        <v>1</v>
      </c>
      <c r="C9" s="34"/>
    </row>
    <row r="10" customFormat="false" ht="15" hidden="false" customHeight="true" outlineLevel="0" collapsed="false">
      <c r="A10" s="34" t="s">
        <v>397</v>
      </c>
      <c r="B10" s="34" t="n">
        <f aca="false">COUNTIFS('Screening (human)'!I2:I45,"Exclude",'Screening (human)'!J2:J45,"E2")</f>
        <v>1</v>
      </c>
      <c r="C10" s="34"/>
    </row>
    <row r="11" customFormat="false" ht="15" hidden="false" customHeight="true" outlineLevel="0" collapsed="false">
      <c r="A11" s="34" t="s">
        <v>398</v>
      </c>
      <c r="B11" s="34" t="n">
        <f aca="false">COUNTIFS('Screening (human)'!I2:I45,"Exclude",'Screening (human)'!J2:J45,"E3")</f>
        <v>1</v>
      </c>
      <c r="C11" s="34"/>
    </row>
    <row r="12" customFormat="false" ht="15" hidden="false" customHeight="true" outlineLevel="0" collapsed="false">
      <c r="A12" s="34" t="s">
        <v>399</v>
      </c>
      <c r="B12" s="34" t="n">
        <f aca="false">COUNTIFS('Screening (human)'!I2:I45,"Exclude",'Screening (human)'!J2:J45,"E4")</f>
        <v>6</v>
      </c>
      <c r="C12" s="34"/>
    </row>
    <row r="13" customFormat="false" ht="15" hidden="false" customHeight="true" outlineLevel="0" collapsed="false">
      <c r="A13" s="34" t="s">
        <v>400</v>
      </c>
      <c r="B13" s="34" t="n">
        <f aca="false">COUNTIFS('Screening (human)'!I2:I45,"Exclude",'Screening (human)'!J2:J45,"E5")</f>
        <v>4</v>
      </c>
      <c r="C13" s="34"/>
    </row>
    <row r="14" customFormat="false" ht="15" hidden="false" customHeight="true" outlineLevel="0" collapsed="false">
      <c r="A14" s="34" t="s">
        <v>401</v>
      </c>
      <c r="B14" s="34" t="n">
        <f aca="false">COUNTIFS('Screening (human)'!I2:I45,"Exclude",'Screening (human)'!J2:J45,"E6")</f>
        <v>2</v>
      </c>
      <c r="C14" s="34"/>
    </row>
    <row r="15" customFormat="false" ht="26.25" hidden="false" customHeight="true" outlineLevel="0" collapsed="false">
      <c r="A15" s="34" t="s">
        <v>402</v>
      </c>
      <c r="B15" s="34" t="n">
        <f aca="false">COUNTIFS('Screening (human)'!V2:V45,"Y",'Screening (human)'!I2:I45,"&lt;&gt;Exclude")</f>
        <v>0</v>
      </c>
      <c r="C15" s="34" t="s">
        <v>403</v>
      </c>
    </row>
    <row r="16" customFormat="false" ht="15" hidden="false" customHeight="true" outlineLevel="0" collapsed="false">
      <c r="A16" s="34" t="s">
        <v>404</v>
      </c>
      <c r="B16" s="34" t="n">
        <f aca="false">SUM(B9:B15)</f>
        <v>15</v>
      </c>
      <c r="C16" s="34" t="s">
        <v>405</v>
      </c>
    </row>
    <row r="17" customFormat="false" ht="15" hidden="false" customHeight="true" outlineLevel="0" collapsed="false">
      <c r="A17" s="34" t="s">
        <v>406</v>
      </c>
      <c r="B17" s="34" t="n">
        <f aca="false">B8-B16</f>
        <v>29</v>
      </c>
      <c r="C17" s="34" t="s">
        <v>407</v>
      </c>
    </row>
    <row r="18" customFormat="false" ht="15" hidden="false" customHeight="true" outlineLevel="0" collapsed="false">
      <c r="A18" s="34" t="s">
        <v>408</v>
      </c>
      <c r="B18" s="34" t="n">
        <f aca="false">COUNTIF('Screening (human)'!K2:K45,"Not retrieved")</f>
        <v>0</v>
      </c>
      <c r="C18" s="34" t="s">
        <v>409</v>
      </c>
    </row>
    <row r="19" customFormat="false" ht="15" hidden="false" customHeight="true" outlineLevel="0" collapsed="false">
      <c r="A19" s="33" t="s">
        <v>410</v>
      </c>
      <c r="B19" s="33"/>
      <c r="C19" s="33"/>
    </row>
    <row r="20" customFormat="false" ht="15" hidden="false" customHeight="true" outlineLevel="0" collapsed="false">
      <c r="A20" s="34" t="s">
        <v>411</v>
      </c>
      <c r="B20" s="34" t="n">
        <f aca="false">B17-B18</f>
        <v>29</v>
      </c>
      <c r="C20" s="34" t="s">
        <v>412</v>
      </c>
    </row>
    <row r="21" customFormat="false" ht="15" hidden="false" customHeight="true" outlineLevel="0" collapsed="false">
      <c r="A21" s="34" t="s">
        <v>413</v>
      </c>
      <c r="B21" s="34" t="n">
        <f aca="false">COUNTIFS('Screening (human)'!K2:K45,"Exclude",'Screening (human)'!L2:L45,"E1")</f>
        <v>0</v>
      </c>
      <c r="C21" s="34"/>
    </row>
    <row r="22" customFormat="false" ht="15" hidden="false" customHeight="true" outlineLevel="0" collapsed="false">
      <c r="A22" s="34" t="s">
        <v>414</v>
      </c>
      <c r="B22" s="34" t="n">
        <f aca="false">COUNTIFS('Screening (human)'!K2:K45,"Exclude",'Screening (human)'!L2:L45,"E2")</f>
        <v>0</v>
      </c>
      <c r="C22" s="34"/>
    </row>
    <row r="23" customFormat="false" ht="15" hidden="false" customHeight="true" outlineLevel="0" collapsed="false">
      <c r="A23" s="34" t="s">
        <v>415</v>
      </c>
      <c r="B23" s="34" t="n">
        <f aca="false">COUNTIFS('Screening (human)'!K2:K45,"Exclude",'Screening (human)'!L2:L45,"E3")</f>
        <v>0</v>
      </c>
      <c r="C23" s="34"/>
    </row>
    <row r="24" customFormat="false" ht="15" hidden="false" customHeight="true" outlineLevel="0" collapsed="false">
      <c r="A24" s="34" t="s">
        <v>416</v>
      </c>
      <c r="B24" s="34" t="n">
        <f aca="false">COUNTIFS('Screening (human)'!K2:K45,"Exclude",'Screening (human)'!L2:L45,"E4")</f>
        <v>0</v>
      </c>
      <c r="C24" s="34"/>
    </row>
    <row r="25" customFormat="false" ht="15" hidden="false" customHeight="true" outlineLevel="0" collapsed="false">
      <c r="A25" s="34" t="s">
        <v>417</v>
      </c>
      <c r="B25" s="34" t="n">
        <f aca="false">COUNTIFS('Screening (human)'!K2:K45,"Exclude",'Screening (human)'!L2:L45,"E5")</f>
        <v>0</v>
      </c>
      <c r="C25" s="34"/>
    </row>
    <row r="26" customFormat="false" ht="15" hidden="false" customHeight="true" outlineLevel="0" collapsed="false">
      <c r="A26" s="34" t="s">
        <v>418</v>
      </c>
      <c r="B26" s="34" t="n">
        <f aca="false">COUNTIFS('Screening (human)'!K2:K45,"Exclude",'Screening (human)'!L2:L45,"E6")</f>
        <v>0</v>
      </c>
      <c r="C26" s="34"/>
    </row>
    <row r="27" customFormat="false" ht="15" hidden="false" customHeight="true" outlineLevel="0" collapsed="false">
      <c r="A27" s="34" t="s">
        <v>419</v>
      </c>
      <c r="B27" s="34" t="n">
        <f aca="false">COUNTIFS('Screening (human)'!K2:K45,"Exclude",'Screening (human)'!L2:L45,"E8")</f>
        <v>0</v>
      </c>
      <c r="C27" s="34"/>
    </row>
    <row r="28" customFormat="false" ht="15" hidden="false" customHeight="true" outlineLevel="0" collapsed="false">
      <c r="A28" s="34" t="s">
        <v>420</v>
      </c>
      <c r="B28" s="34" t="n">
        <f aca="false">COUNTIFS('Screening (human)'!K2:K45,"Eligible",'Screening (human)'!R2:R45,"No")</f>
        <v>0</v>
      </c>
      <c r="C28" s="34" t="s">
        <v>421</v>
      </c>
    </row>
    <row r="29" customFormat="false" ht="15" hidden="false" customHeight="true" outlineLevel="0" collapsed="false">
      <c r="A29" s="34" t="s">
        <v>422</v>
      </c>
      <c r="B29" s="34" t="n">
        <f aca="false">SUM(B21:B28)</f>
        <v>0</v>
      </c>
      <c r="C29" s="34"/>
    </row>
    <row r="30" customFormat="false" ht="15" hidden="false" customHeight="true" outlineLevel="0" collapsed="false">
      <c r="A30" s="33" t="s">
        <v>423</v>
      </c>
      <c r="B30" s="33"/>
      <c r="C30" s="33"/>
    </row>
    <row r="31" customFormat="false" ht="15" hidden="false" customHeight="true" outlineLevel="0" collapsed="false">
      <c r="A31" s="34" t="s">
        <v>424</v>
      </c>
      <c r="B31" s="34" t="n">
        <f aca="false">COUNTIF('Screening (human)'!R2:R45,"Yes")</f>
        <v>0</v>
      </c>
      <c r="C31" s="34" t="s">
        <v>425</v>
      </c>
    </row>
    <row r="32" customFormat="false" ht="15" hidden="false" customHeight="true" outlineLevel="0" collapsed="false">
      <c r="A32" s="33" t="s">
        <v>426</v>
      </c>
      <c r="B32" s="33"/>
      <c r="C32" s="33"/>
    </row>
    <row r="33" customFormat="false" ht="15" hidden="false" customHeight="true" outlineLevel="0" collapsed="false">
      <c r="A33" s="34" t="s">
        <v>427</v>
      </c>
      <c r="B33" s="34" t="str">
        <f aca="false">IF(COUNTA('Screening (human)'!I2:I45)=B3,"OK","CHECK: "&amp;(B3-COUNTA('Screening (human)'!I2:I45))&amp;" pending")</f>
        <v>OK</v>
      </c>
      <c r="C33" s="34"/>
    </row>
    <row r="34" customFormat="false" ht="15" hidden="false" customHeight="true" outlineLevel="0" collapsed="false">
      <c r="A34" s="34" t="s">
        <v>428</v>
      </c>
      <c r="B34" s="34" t="str">
        <f aca="false">IF(COUNTIFS('Screening (human)'!I2:I45,"Exclude",'Screening (human)'!J2:J45,"")=0,"OK","CHECK")</f>
        <v>OK</v>
      </c>
      <c r="C34" s="34"/>
    </row>
    <row r="35" customFormat="false" ht="15" hidden="false" customHeight="true" outlineLevel="0" collapsed="false">
      <c r="A35" s="34" t="s">
        <v>429</v>
      </c>
      <c r="B35" s="34" t="str">
        <f aca="false">IF(COUNTIFS('Screening (human)'!K2:K45,"Exclude",'Screening (human)'!L2:L45,"")=0,"OK","CHECK")</f>
        <v>OK</v>
      </c>
      <c r="C35" s="34"/>
    </row>
    <row r="36" customFormat="false" ht="15" hidden="false" customHeight="true" outlineLevel="0" collapsed="false">
      <c r="A36" s="34" t="s">
        <v>430</v>
      </c>
      <c r="B36" s="34" t="str">
        <f aca="false">IF(COUNTIFS('Screening (human)'!V2:V45,"Y",'Screening (human)'!K2:K45,"&lt;&gt;")=0,"OK","CHECK: column V and K both filled")</f>
        <v>OK</v>
      </c>
      <c r="C36" s="34"/>
    </row>
    <row r="37" customFormat="false" ht="26.25" hidden="false" customHeight="true" outlineLevel="0" collapsed="false">
      <c r="A37" s="34" t="s">
        <v>431</v>
      </c>
      <c r="B37" s="34" t="str">
        <f aca="false">IF(B20=COUNTIF('Screening (human)'!K2:K45,"Eligible")+COUNTIF('Screening (human)'!K2:K45,"Exclude"),"OK","CHECK: "&amp;(B20-COUNTIF('Screening (human)'!K2:K45,"Eligible")-COUNTIF('Screening (human)'!K2:K45,"Exclude"))&amp;" sought but not yet decided")</f>
        <v>CHECK: 28 sought but not yet decided</v>
      </c>
      <c r="C37" s="34" t="s">
        <v>432</v>
      </c>
    </row>
    <row r="38" customFormat="false" ht="15" hidden="false" customHeight="true" outlineLevel="0" collapsed="false">
      <c r="A38" s="34" t="s">
        <v>433</v>
      </c>
      <c r="B38" s="34" t="str">
        <f aca="false">IF(B20-B29=B31,"OK","CHECK")</f>
        <v>CHECK</v>
      </c>
      <c r="C38" s="34" t="s">
        <v>434</v>
      </c>
    </row>
    <row r="39" customFormat="false" ht="26.25" hidden="false" customHeight="true" outlineLevel="0" collapsed="false">
      <c r="A39" s="34" t="s">
        <v>435</v>
      </c>
      <c r="B39" s="34" t="str">
        <f aca="false">IF(B3-B4-B5-B6-B16-B18-B29=B31,"OK","CHECK")</f>
        <v>CHECK</v>
      </c>
      <c r="C39" s="34" t="s">
        <v>436</v>
      </c>
    </row>
    <row r="40" customFormat="false" ht="15" hidden="false" customHeight="true" outlineLevel="0" collapsed="false">
      <c r="A40" s="34" t="s">
        <v>437</v>
      </c>
      <c r="B40" s="34" t="str">
        <f aca="false">IF(B31=10,"OK","CHECK: "&amp;B31)</f>
        <v>CHECK: 0</v>
      </c>
      <c r="C40" s="34" t="s">
        <v>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4" width="7"/>
    <col collapsed="false" customWidth="true" hidden="false" outlineLevel="0" max="2" min="2" style="14" width="5"/>
    <col collapsed="false" customWidth="true" hidden="false" outlineLevel="0" max="3" min="3" style="14" width="7"/>
    <col collapsed="false" customWidth="true" hidden="false" outlineLevel="0" max="4" min="4" style="14" width="16"/>
    <col collapsed="false" customWidth="true" hidden="false" outlineLevel="0" max="5" min="5" style="14" width="6"/>
    <col collapsed="false" customWidth="true" hidden="false" outlineLevel="0" max="6" min="6" style="14" width="60"/>
    <col collapsed="false" customWidth="true" hidden="false" outlineLevel="0" max="7" min="7" style="14" width="30"/>
    <col collapsed="false" customWidth="true" hidden="false" outlineLevel="0" max="8" min="8" style="14" width="60"/>
    <col collapsed="false" customWidth="true" hidden="false" outlineLevel="0" max="9" min="9" style="14" width="9"/>
  </cols>
  <sheetData>
    <row r="1" customFormat="false" ht="26.25" hidden="false" customHeight="true" outlineLevel="0" collapsed="false">
      <c r="A1" s="15" t="s">
        <v>439</v>
      </c>
      <c r="B1" s="15" t="s">
        <v>78</v>
      </c>
      <c r="C1" s="15" t="s">
        <v>440</v>
      </c>
      <c r="D1" s="15" t="s">
        <v>79</v>
      </c>
      <c r="E1" s="15" t="s">
        <v>80</v>
      </c>
      <c r="F1" s="15" t="s">
        <v>81</v>
      </c>
      <c r="G1" s="15" t="s">
        <v>83</v>
      </c>
      <c r="H1" s="15" t="s">
        <v>441</v>
      </c>
      <c r="I1" s="15" t="s">
        <v>442</v>
      </c>
    </row>
    <row r="2" customFormat="false" ht="45" hidden="false" customHeight="true" outlineLevel="0" collapsed="false">
      <c r="A2" s="34" t="n">
        <v>1</v>
      </c>
      <c r="B2" s="34" t="n">
        <v>33</v>
      </c>
      <c r="C2" s="34" t="s">
        <v>443</v>
      </c>
      <c r="D2" s="34" t="s">
        <v>265</v>
      </c>
      <c r="E2" s="34" t="n">
        <v>2026</v>
      </c>
      <c r="F2" s="34" t="s">
        <v>444</v>
      </c>
      <c r="G2" s="34" t="s">
        <v>268</v>
      </c>
      <c r="H2" s="34" t="s">
        <v>445</v>
      </c>
      <c r="I2" s="36"/>
    </row>
    <row r="3" customFormat="false" ht="26.25" hidden="false" customHeight="true" outlineLevel="0" collapsed="false">
      <c r="A3" s="34" t="n">
        <v>2</v>
      </c>
      <c r="B3" s="34" t="n">
        <v>37</v>
      </c>
      <c r="C3" s="34" t="s">
        <v>443</v>
      </c>
      <c r="D3" s="34" t="s">
        <v>284</v>
      </c>
      <c r="E3" s="34" t="n">
        <v>2026</v>
      </c>
      <c r="F3" s="34" t="s">
        <v>285</v>
      </c>
      <c r="G3" s="34" t="s">
        <v>286</v>
      </c>
      <c r="H3" s="34" t="s">
        <v>445</v>
      </c>
      <c r="I3" s="36"/>
    </row>
    <row r="4" customFormat="false" ht="39" hidden="false" customHeight="true" outlineLevel="0" collapsed="false">
      <c r="A4" s="34" t="n">
        <v>3</v>
      </c>
      <c r="B4" s="34" t="n">
        <v>43</v>
      </c>
      <c r="C4" s="34" t="s">
        <v>443</v>
      </c>
      <c r="D4" s="34" t="s">
        <v>313</v>
      </c>
      <c r="E4" s="34" t="n">
        <v>2026</v>
      </c>
      <c r="F4" s="34" t="s">
        <v>314</v>
      </c>
      <c r="G4" s="34" t="s">
        <v>316</v>
      </c>
      <c r="H4" s="34" t="s">
        <v>445</v>
      </c>
      <c r="I4" s="36"/>
    </row>
    <row r="5" customFormat="false" ht="39" hidden="false" customHeight="true" outlineLevel="0" collapsed="false">
      <c r="A5" s="34" t="n">
        <v>4</v>
      </c>
      <c r="B5" s="34" t="n">
        <v>15</v>
      </c>
      <c r="C5" s="34" t="s">
        <v>446</v>
      </c>
      <c r="D5" s="34" t="s">
        <v>176</v>
      </c>
      <c r="E5" s="34" t="n">
        <v>2026</v>
      </c>
      <c r="F5" s="34" t="s">
        <v>177</v>
      </c>
      <c r="G5" s="34" t="s">
        <v>179</v>
      </c>
      <c r="H5" s="34" t="s">
        <v>447</v>
      </c>
      <c r="I5" s="36"/>
    </row>
    <row r="6" customFormat="false" ht="39" hidden="false" customHeight="true" outlineLevel="0" collapsed="false">
      <c r="A6" s="34" t="n">
        <v>5</v>
      </c>
      <c r="B6" s="34" t="n">
        <v>19</v>
      </c>
      <c r="C6" s="34" t="s">
        <v>446</v>
      </c>
      <c r="D6" s="34" t="s">
        <v>196</v>
      </c>
      <c r="E6" s="34" t="n">
        <v>2024</v>
      </c>
      <c r="F6" s="34" t="s">
        <v>197</v>
      </c>
      <c r="G6" s="34" t="s">
        <v>199</v>
      </c>
      <c r="H6" s="34" t="s">
        <v>447</v>
      </c>
      <c r="I6" s="36"/>
    </row>
    <row r="7" customFormat="false" ht="39" hidden="false" customHeight="true" outlineLevel="0" collapsed="false">
      <c r="A7" s="34" t="n">
        <v>6</v>
      </c>
      <c r="B7" s="34" t="n">
        <v>13</v>
      </c>
      <c r="C7" s="34" t="s">
        <v>446</v>
      </c>
      <c r="D7" s="34" t="s">
        <v>166</v>
      </c>
      <c r="E7" s="34" t="n">
        <v>2025</v>
      </c>
      <c r="F7" s="34" t="s">
        <v>167</v>
      </c>
      <c r="G7" s="34" t="s">
        <v>169</v>
      </c>
      <c r="H7" s="34" t="s">
        <v>447</v>
      </c>
      <c r="I7" s="36"/>
    </row>
    <row r="8" customFormat="false" ht="39" hidden="false" customHeight="true" outlineLevel="0" collapsed="false">
      <c r="A8" s="34" t="n">
        <v>7</v>
      </c>
      <c r="B8" s="34" t="n">
        <v>30</v>
      </c>
      <c r="C8" s="34" t="s">
        <v>446</v>
      </c>
      <c r="D8" s="34" t="s">
        <v>250</v>
      </c>
      <c r="E8" s="34" t="n">
        <v>2026</v>
      </c>
      <c r="F8" s="34" t="s">
        <v>251</v>
      </c>
      <c r="G8" s="34" t="s">
        <v>253</v>
      </c>
      <c r="H8" s="34" t="s">
        <v>447</v>
      </c>
      <c r="I8" s="36"/>
    </row>
    <row r="9" customFormat="false" ht="39" hidden="false" customHeight="true" outlineLevel="0" collapsed="false">
      <c r="A9" s="34" t="n">
        <v>8</v>
      </c>
      <c r="B9" s="34" t="n">
        <v>40</v>
      </c>
      <c r="C9" s="34" t="s">
        <v>446</v>
      </c>
      <c r="D9" s="34" t="s">
        <v>300</v>
      </c>
      <c r="E9" s="34" t="n">
        <v>2025</v>
      </c>
      <c r="F9" s="34" t="s">
        <v>301</v>
      </c>
      <c r="G9" s="34" t="s">
        <v>302</v>
      </c>
      <c r="H9" s="34" t="s">
        <v>447</v>
      </c>
      <c r="I9" s="36"/>
    </row>
    <row r="10" customFormat="false" ht="39" hidden="false" customHeight="true" outlineLevel="0" collapsed="false">
      <c r="A10" s="34" t="n">
        <v>9</v>
      </c>
      <c r="B10" s="34" t="n">
        <v>39</v>
      </c>
      <c r="C10" s="34" t="s">
        <v>446</v>
      </c>
      <c r="D10" s="34" t="s">
        <v>295</v>
      </c>
      <c r="E10" s="34" t="n">
        <v>2026</v>
      </c>
      <c r="F10" s="34" t="s">
        <v>296</v>
      </c>
      <c r="G10" s="34" t="s">
        <v>298</v>
      </c>
      <c r="H10" s="34" t="s">
        <v>447</v>
      </c>
      <c r="I10" s="36"/>
    </row>
    <row r="11" customFormat="false" ht="39" hidden="false" customHeight="true" outlineLevel="0" collapsed="false">
      <c r="A11" s="34" t="n">
        <v>10</v>
      </c>
      <c r="B11" s="34" t="n">
        <v>5</v>
      </c>
      <c r="C11" s="34" t="s">
        <v>446</v>
      </c>
      <c r="D11" s="34" t="s">
        <v>123</v>
      </c>
      <c r="E11" s="34" t="n">
        <v>2026</v>
      </c>
      <c r="F11" s="34" t="s">
        <v>124</v>
      </c>
      <c r="G11" s="34" t="s">
        <v>126</v>
      </c>
      <c r="H11" s="34" t="s">
        <v>447</v>
      </c>
      <c r="I11" s="36"/>
    </row>
    <row r="12" customFormat="false" ht="39" hidden="false" customHeight="true" outlineLevel="0" collapsed="false">
      <c r="A12" s="34" t="n">
        <v>11</v>
      </c>
      <c r="B12" s="34" t="n">
        <v>7</v>
      </c>
      <c r="C12" s="34" t="s">
        <v>446</v>
      </c>
      <c r="D12" s="34" t="s">
        <v>135</v>
      </c>
      <c r="E12" s="34" t="n">
        <v>2026</v>
      </c>
      <c r="F12" s="34" t="s">
        <v>136</v>
      </c>
      <c r="G12" s="34" t="s">
        <v>138</v>
      </c>
      <c r="H12" s="34" t="s">
        <v>447</v>
      </c>
      <c r="I12" s="36"/>
    </row>
    <row r="13" customFormat="false" ht="39" hidden="false" customHeight="true" outlineLevel="0" collapsed="false">
      <c r="A13" s="34" t="n">
        <v>12</v>
      </c>
      <c r="B13" s="34" t="n">
        <v>34</v>
      </c>
      <c r="C13" s="34" t="s">
        <v>446</v>
      </c>
      <c r="D13" s="34" t="s">
        <v>270</v>
      </c>
      <c r="E13" s="34" t="n">
        <v>2026</v>
      </c>
      <c r="F13" s="34" t="s">
        <v>271</v>
      </c>
      <c r="G13" s="34" t="s">
        <v>273</v>
      </c>
      <c r="H13" s="34" t="s">
        <v>447</v>
      </c>
      <c r="I13" s="36"/>
    </row>
    <row r="14" customFormat="false" ht="26.25" hidden="false" customHeight="true" outlineLevel="0" collapsed="false">
      <c r="A14" s="34" t="n">
        <v>13</v>
      </c>
      <c r="B14" s="34" t="n">
        <v>2</v>
      </c>
      <c r="C14" s="34" t="s">
        <v>448</v>
      </c>
      <c r="D14" s="34" t="s">
        <v>107</v>
      </c>
      <c r="E14" s="34" t="n">
        <v>2025</v>
      </c>
      <c r="F14" s="34" t="s">
        <v>108</v>
      </c>
      <c r="G14" s="34" t="s">
        <v>110</v>
      </c>
      <c r="H14" s="34" t="s">
        <v>449</v>
      </c>
      <c r="I14" s="36"/>
    </row>
    <row r="15" customFormat="false" ht="26.25" hidden="false" customHeight="true" outlineLevel="0" collapsed="false">
      <c r="A15" s="34" t="n">
        <v>14</v>
      </c>
      <c r="B15" s="34" t="n">
        <v>4</v>
      </c>
      <c r="C15" s="34" t="s">
        <v>448</v>
      </c>
      <c r="D15" s="34" t="s">
        <v>118</v>
      </c>
      <c r="E15" s="34" t="n">
        <v>2026</v>
      </c>
      <c r="F15" s="34" t="s">
        <v>119</v>
      </c>
      <c r="G15" s="34" t="s">
        <v>121</v>
      </c>
      <c r="H15" s="34" t="s">
        <v>449</v>
      </c>
      <c r="I15" s="36"/>
    </row>
    <row r="16" customFormat="false" ht="26.25" hidden="false" customHeight="true" outlineLevel="0" collapsed="false">
      <c r="A16" s="34" t="n">
        <v>15</v>
      </c>
      <c r="B16" s="34" t="n">
        <v>9</v>
      </c>
      <c r="C16" s="34" t="s">
        <v>448</v>
      </c>
      <c r="D16" s="34" t="s">
        <v>145</v>
      </c>
      <c r="E16" s="34" t="n">
        <v>2026</v>
      </c>
      <c r="F16" s="34" t="s">
        <v>146</v>
      </c>
      <c r="G16" s="34" t="s">
        <v>148</v>
      </c>
      <c r="H16" s="34" t="s">
        <v>449</v>
      </c>
      <c r="I16" s="36"/>
    </row>
    <row r="17" customFormat="false" ht="39" hidden="false" customHeight="true" outlineLevel="0" collapsed="false">
      <c r="A17" s="34" t="n">
        <v>16</v>
      </c>
      <c r="B17" s="34" t="n">
        <v>14</v>
      </c>
      <c r="C17" s="34" t="s">
        <v>448</v>
      </c>
      <c r="D17" s="34" t="s">
        <v>171</v>
      </c>
      <c r="E17" s="34" t="n">
        <v>2025</v>
      </c>
      <c r="F17" s="34" t="s">
        <v>172</v>
      </c>
      <c r="G17" s="34" t="s">
        <v>174</v>
      </c>
      <c r="H17" s="34" t="s">
        <v>449</v>
      </c>
      <c r="I17" s="36"/>
    </row>
    <row r="18" customFormat="false" ht="26.25" hidden="false" customHeight="true" outlineLevel="0" collapsed="false">
      <c r="A18" s="34" t="n">
        <v>17</v>
      </c>
      <c r="B18" s="34" t="n">
        <v>21</v>
      </c>
      <c r="C18" s="34" t="s">
        <v>448</v>
      </c>
      <c r="D18" s="34" t="s">
        <v>206</v>
      </c>
      <c r="E18" s="34" t="n">
        <v>2026</v>
      </c>
      <c r="F18" s="34" t="s">
        <v>207</v>
      </c>
      <c r="G18" s="34" t="s">
        <v>209</v>
      </c>
      <c r="H18" s="34" t="s">
        <v>449</v>
      </c>
      <c r="I18" s="36"/>
    </row>
    <row r="19" customFormat="false" ht="26.25" hidden="false" customHeight="true" outlineLevel="0" collapsed="false">
      <c r="A19" s="34" t="n">
        <v>18</v>
      </c>
      <c r="B19" s="34" t="n">
        <v>23</v>
      </c>
      <c r="C19" s="34" t="s">
        <v>448</v>
      </c>
      <c r="D19" s="34" t="s">
        <v>216</v>
      </c>
      <c r="E19" s="34" t="n">
        <v>2025</v>
      </c>
      <c r="F19" s="34" t="s">
        <v>217</v>
      </c>
      <c r="G19" s="34" t="s">
        <v>219</v>
      </c>
      <c r="H19" s="34" t="s">
        <v>449</v>
      </c>
      <c r="I19" s="36"/>
    </row>
    <row r="20" customFormat="false" ht="26.25" hidden="false" customHeight="true" outlineLevel="0" collapsed="false">
      <c r="A20" s="34" t="n">
        <v>19</v>
      </c>
      <c r="B20" s="34" t="n">
        <v>26</v>
      </c>
      <c r="C20" s="34" t="s">
        <v>448</v>
      </c>
      <c r="D20" s="34" t="s">
        <v>230</v>
      </c>
      <c r="E20" s="34" t="n">
        <v>2026</v>
      </c>
      <c r="F20" s="34" t="s">
        <v>231</v>
      </c>
      <c r="G20" s="34" t="s">
        <v>233</v>
      </c>
      <c r="H20" s="34" t="s">
        <v>449</v>
      </c>
      <c r="I20" s="36"/>
    </row>
    <row r="21" customFormat="false" ht="26.25" hidden="false" customHeight="true" outlineLevel="0" collapsed="false">
      <c r="A21" s="34" t="n">
        <v>20</v>
      </c>
      <c r="B21" s="34" t="n">
        <v>27</v>
      </c>
      <c r="C21" s="34" t="s">
        <v>448</v>
      </c>
      <c r="D21" s="34" t="s">
        <v>235</v>
      </c>
      <c r="E21" s="34" t="n">
        <v>2026</v>
      </c>
      <c r="F21" s="34" t="s">
        <v>236</v>
      </c>
      <c r="G21" s="34" t="s">
        <v>238</v>
      </c>
      <c r="H21" s="34" t="s">
        <v>449</v>
      </c>
      <c r="I21" s="36"/>
    </row>
    <row r="22" customFormat="false" ht="26.25" hidden="false" customHeight="true" outlineLevel="0" collapsed="false">
      <c r="A22" s="34" t="n">
        <v>21</v>
      </c>
      <c r="B22" s="34" t="n">
        <v>31</v>
      </c>
      <c r="C22" s="34" t="s">
        <v>448</v>
      </c>
      <c r="D22" s="34" t="s">
        <v>255</v>
      </c>
      <c r="E22" s="34" t="n">
        <v>2025</v>
      </c>
      <c r="F22" s="34" t="s">
        <v>256</v>
      </c>
      <c r="G22" s="34" t="s">
        <v>258</v>
      </c>
      <c r="H22" s="34" t="s">
        <v>449</v>
      </c>
      <c r="I22" s="36"/>
    </row>
    <row r="23" customFormat="false" ht="39" hidden="false" customHeight="true" outlineLevel="0" collapsed="false">
      <c r="A23" s="34" t="n">
        <v>22</v>
      </c>
      <c r="B23" s="34" t="n">
        <v>32</v>
      </c>
      <c r="C23" s="34" t="s">
        <v>448</v>
      </c>
      <c r="D23" s="34" t="s">
        <v>260</v>
      </c>
      <c r="E23" s="34" t="n">
        <v>2026</v>
      </c>
      <c r="F23" s="34" t="s">
        <v>261</v>
      </c>
      <c r="G23" s="34" t="s">
        <v>263</v>
      </c>
      <c r="H23" s="34" t="s">
        <v>449</v>
      </c>
      <c r="I23" s="36"/>
    </row>
    <row r="24" customFormat="false" ht="26.25" hidden="false" customHeight="true" outlineLevel="0" collapsed="false">
      <c r="A24" s="34" t="n">
        <v>23</v>
      </c>
      <c r="B24" s="34" t="n">
        <v>36</v>
      </c>
      <c r="C24" s="34" t="s">
        <v>448</v>
      </c>
      <c r="D24" s="34" t="s">
        <v>279</v>
      </c>
      <c r="E24" s="34" t="n">
        <v>2025</v>
      </c>
      <c r="F24" s="34" t="s">
        <v>280</v>
      </c>
      <c r="G24" s="34" t="s">
        <v>282</v>
      </c>
      <c r="H24" s="34" t="s">
        <v>449</v>
      </c>
      <c r="I24" s="36"/>
    </row>
    <row r="25" customFormat="false" ht="26.25" hidden="false" customHeight="true" outlineLevel="0" collapsed="false">
      <c r="A25" s="34" t="n">
        <v>24</v>
      </c>
      <c r="B25" s="34" t="n">
        <v>41</v>
      </c>
      <c r="C25" s="34" t="s">
        <v>448</v>
      </c>
      <c r="D25" s="34" t="s">
        <v>304</v>
      </c>
      <c r="E25" s="34" t="n">
        <v>2026</v>
      </c>
      <c r="F25" s="34" t="s">
        <v>305</v>
      </c>
      <c r="G25" s="34" t="s">
        <v>307</v>
      </c>
      <c r="H25" s="34" t="s">
        <v>449</v>
      </c>
      <c r="I25" s="36"/>
    </row>
    <row r="26" customFormat="false" ht="26.25" hidden="false" customHeight="true" outlineLevel="0" collapsed="false">
      <c r="A26" s="34" t="n">
        <v>25</v>
      </c>
      <c r="B26" s="34" t="n">
        <v>42</v>
      </c>
      <c r="C26" s="34" t="s">
        <v>448</v>
      </c>
      <c r="D26" s="34" t="s">
        <v>309</v>
      </c>
      <c r="E26" s="34" t="n">
        <v>2026</v>
      </c>
      <c r="F26" s="34" t="s">
        <v>310</v>
      </c>
      <c r="G26" s="34" t="s">
        <v>311</v>
      </c>
      <c r="H26" s="34" t="s">
        <v>449</v>
      </c>
      <c r="I26" s="36"/>
    </row>
    <row r="27" customFormat="false" ht="26.25" hidden="false" customHeight="true" outlineLevel="0" collapsed="false">
      <c r="A27" s="34" t="n">
        <v>26</v>
      </c>
      <c r="B27" s="34" t="n">
        <v>1</v>
      </c>
      <c r="C27" s="34" t="s">
        <v>450</v>
      </c>
      <c r="D27" s="34" t="s">
        <v>100</v>
      </c>
      <c r="E27" s="34" t="n">
        <v>2026</v>
      </c>
      <c r="F27" s="34" t="s">
        <v>101</v>
      </c>
      <c r="G27" s="34" t="s">
        <v>103</v>
      </c>
      <c r="H27" s="34" t="s">
        <v>451</v>
      </c>
      <c r="I27" s="36"/>
    </row>
    <row r="28" customFormat="false" ht="26.25" hidden="false" customHeight="true" outlineLevel="0" collapsed="false">
      <c r="A28" s="34" t="n">
        <v>27</v>
      </c>
      <c r="B28" s="34" t="n">
        <v>3</v>
      </c>
      <c r="C28" s="34" t="s">
        <v>450</v>
      </c>
      <c r="D28" s="34" t="s">
        <v>113</v>
      </c>
      <c r="E28" s="34" t="n">
        <v>2024</v>
      </c>
      <c r="F28" s="34" t="s">
        <v>114</v>
      </c>
      <c r="G28" s="34" t="s">
        <v>116</v>
      </c>
      <c r="H28" s="34" t="s">
        <v>451</v>
      </c>
      <c r="I28" s="36"/>
    </row>
    <row r="29" customFormat="false" ht="26.25" hidden="false" customHeight="true" outlineLevel="0" collapsed="false">
      <c r="A29" s="34" t="n">
        <v>28</v>
      </c>
      <c r="B29" s="34" t="n">
        <v>18</v>
      </c>
      <c r="C29" s="34" t="s">
        <v>450</v>
      </c>
      <c r="D29" s="34" t="s">
        <v>191</v>
      </c>
      <c r="E29" s="34" t="n">
        <v>2026</v>
      </c>
      <c r="F29" s="34" t="s">
        <v>192</v>
      </c>
      <c r="G29" s="34" t="s">
        <v>194</v>
      </c>
      <c r="H29" s="34" t="s">
        <v>451</v>
      </c>
      <c r="I29" s="36"/>
    </row>
    <row r="30" customFormat="false" ht="26.25" hidden="false" customHeight="true" outlineLevel="0" collapsed="false">
      <c r="A30" s="34" t="n">
        <v>29</v>
      </c>
      <c r="B30" s="34" t="n">
        <v>29</v>
      </c>
      <c r="C30" s="34" t="s">
        <v>450</v>
      </c>
      <c r="D30" s="34" t="s">
        <v>245</v>
      </c>
      <c r="E30" s="34" t="n">
        <v>2025</v>
      </c>
      <c r="F30" s="34" t="s">
        <v>246</v>
      </c>
      <c r="G30" s="34" t="s">
        <v>248</v>
      </c>
      <c r="H30" s="34" t="s">
        <v>451</v>
      </c>
      <c r="I30" s="36"/>
    </row>
    <row r="31" customFormat="false" ht="26.25" hidden="false" customHeight="true" outlineLevel="0" collapsed="false">
      <c r="A31" s="34" t="n">
        <v>30</v>
      </c>
      <c r="B31" s="34" t="n">
        <v>35</v>
      </c>
      <c r="C31" s="34" t="s">
        <v>450</v>
      </c>
      <c r="D31" s="34" t="s">
        <v>275</v>
      </c>
      <c r="E31" s="34" t="n">
        <v>2026</v>
      </c>
      <c r="F31" s="34" t="s">
        <v>276</v>
      </c>
      <c r="G31" s="34" t="s">
        <v>277</v>
      </c>
      <c r="H31" s="34" t="s">
        <v>451</v>
      </c>
      <c r="I31" s="36"/>
    </row>
    <row r="33" customFormat="false" ht="48" hidden="false" customHeight="true" outlineLevel="0" collapsed="false">
      <c r="A33" s="37" t="s">
        <v>452</v>
      </c>
      <c r="B33" s="37"/>
      <c r="C33" s="37"/>
      <c r="D33" s="37"/>
      <c r="E33" s="37"/>
      <c r="F33" s="37"/>
      <c r="G33" s="37"/>
      <c r="H33" s="37"/>
      <c r="I33" s="37"/>
    </row>
  </sheetData>
  <mergeCells count="1">
    <mergeCell ref="A33:I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6"/>
    <col collapsed="false" customWidth="true" hidden="false" outlineLevel="0" max="4" min="4" style="0" width="45"/>
    <col collapsed="false" customWidth="true" hidden="false" outlineLevel="0" max="5" min="5" style="0" width="28"/>
    <col collapsed="false" customWidth="true" hidden="false" outlineLevel="0" max="7" min="6" style="0" width="14"/>
    <col collapsed="false" customWidth="true" hidden="false" outlineLevel="0" max="8" min="8" style="0" width="22"/>
    <col collapsed="false" customWidth="true" hidden="false" outlineLevel="0" max="10" min="9" style="0" width="40"/>
    <col collapsed="false" customWidth="true" hidden="false" outlineLevel="0" max="11" min="11" style="0" width="50"/>
    <col collapsed="false" customWidth="true" hidden="false" outlineLevel="0" max="12" min="12" style="0" width="16"/>
    <col collapsed="false" customWidth="true" hidden="false" outlineLevel="0" max="13" min="13" style="0" width="12"/>
  </cols>
  <sheetData>
    <row r="1" customFormat="false" ht="39.55" hidden="false" customHeight="false" outlineLevel="0" collapsed="false">
      <c r="A1" s="15" t="s">
        <v>78</v>
      </c>
      <c r="B1" s="15" t="s">
        <v>79</v>
      </c>
      <c r="C1" s="15" t="s">
        <v>80</v>
      </c>
      <c r="D1" s="15" t="s">
        <v>81</v>
      </c>
      <c r="E1" s="15" t="s">
        <v>83</v>
      </c>
      <c r="F1" s="15" t="s">
        <v>453</v>
      </c>
      <c r="G1" s="15" t="s">
        <v>454</v>
      </c>
      <c r="H1" s="15" t="s">
        <v>455</v>
      </c>
      <c r="I1" s="15" t="s">
        <v>456</v>
      </c>
      <c r="J1" s="15" t="s">
        <v>457</v>
      </c>
      <c r="K1" s="15" t="s">
        <v>458</v>
      </c>
      <c r="L1" s="15" t="s">
        <v>459</v>
      </c>
      <c r="M1" s="15" t="s">
        <v>460</v>
      </c>
    </row>
    <row r="2" customFormat="false" ht="60" hidden="false" customHeight="true" outlineLevel="0" collapsed="false">
      <c r="A2" s="34" t="n">
        <v>37</v>
      </c>
      <c r="B2" s="34" t="s">
        <v>284</v>
      </c>
      <c r="C2" s="34" t="n">
        <v>2026</v>
      </c>
      <c r="D2" s="34" t="s">
        <v>285</v>
      </c>
      <c r="E2" s="34" t="s">
        <v>286</v>
      </c>
      <c r="F2" s="38"/>
      <c r="G2" s="38"/>
      <c r="H2" s="38"/>
      <c r="I2" s="38"/>
      <c r="J2" s="38"/>
      <c r="K2" s="38"/>
      <c r="L2" s="38"/>
      <c r="M2" s="38"/>
    </row>
    <row r="3" customFormat="false" ht="60" hidden="false" customHeight="true" outlineLevel="0" collapsed="false">
      <c r="A3" s="34" t="n">
        <v>30</v>
      </c>
      <c r="B3" s="34" t="s">
        <v>250</v>
      </c>
      <c r="C3" s="34" t="n">
        <v>2026</v>
      </c>
      <c r="D3" s="34" t="s">
        <v>251</v>
      </c>
      <c r="E3" s="34" t="s">
        <v>253</v>
      </c>
      <c r="F3" s="38"/>
      <c r="G3" s="38"/>
      <c r="H3" s="38"/>
      <c r="I3" s="38"/>
      <c r="J3" s="38"/>
      <c r="K3" s="38"/>
      <c r="L3" s="38"/>
      <c r="M3" s="38"/>
    </row>
    <row r="4" customFormat="false" ht="60" hidden="false" customHeight="true" outlineLevel="0" collapsed="false">
      <c r="A4" s="34" t="n">
        <v>7</v>
      </c>
      <c r="B4" s="34" t="s">
        <v>135</v>
      </c>
      <c r="C4" s="34" t="n">
        <v>2026</v>
      </c>
      <c r="D4" s="34" t="s">
        <v>136</v>
      </c>
      <c r="E4" s="34" t="s">
        <v>138</v>
      </c>
      <c r="F4" s="38"/>
      <c r="G4" s="38"/>
      <c r="H4" s="38"/>
      <c r="I4" s="38"/>
      <c r="J4" s="38"/>
      <c r="K4" s="38"/>
      <c r="L4" s="38"/>
      <c r="M4" s="38"/>
    </row>
    <row r="5" customFormat="false" ht="60" hidden="false" customHeight="true" outlineLevel="0" collapsed="false">
      <c r="A5" s="34" t="n">
        <v>15</v>
      </c>
      <c r="B5" s="34" t="s">
        <v>176</v>
      </c>
      <c r="C5" s="34" t="n">
        <v>2026</v>
      </c>
      <c r="D5" s="34" t="s">
        <v>177</v>
      </c>
      <c r="E5" s="34" t="s">
        <v>179</v>
      </c>
      <c r="F5" s="38"/>
      <c r="G5" s="38"/>
      <c r="H5" s="38"/>
      <c r="I5" s="38"/>
      <c r="J5" s="38"/>
      <c r="K5" s="38"/>
      <c r="L5" s="38"/>
      <c r="M5" s="38"/>
    </row>
    <row r="6" customFormat="false" ht="60" hidden="false" customHeight="true" outlineLevel="0" collapsed="false">
      <c r="A6" s="34" t="n">
        <v>5</v>
      </c>
      <c r="B6" s="34" t="s">
        <v>123</v>
      </c>
      <c r="C6" s="34" t="n">
        <v>2026</v>
      </c>
      <c r="D6" s="34" t="s">
        <v>124</v>
      </c>
      <c r="E6" s="34" t="s">
        <v>126</v>
      </c>
      <c r="F6" s="38"/>
      <c r="G6" s="38"/>
      <c r="H6" s="38"/>
      <c r="I6" s="38"/>
      <c r="J6" s="38"/>
      <c r="K6" s="38"/>
      <c r="L6" s="38"/>
      <c r="M6" s="38"/>
    </row>
    <row r="7" customFormat="false" ht="60" hidden="false" customHeight="true" outlineLevel="0" collapsed="false">
      <c r="A7" s="34" t="n">
        <v>34</v>
      </c>
      <c r="B7" s="34" t="s">
        <v>270</v>
      </c>
      <c r="C7" s="34" t="n">
        <v>2026</v>
      </c>
      <c r="D7" s="34" t="s">
        <v>271</v>
      </c>
      <c r="E7" s="34" t="s">
        <v>273</v>
      </c>
      <c r="F7" s="38"/>
      <c r="G7" s="38"/>
      <c r="H7" s="38"/>
      <c r="I7" s="38"/>
      <c r="J7" s="38"/>
      <c r="K7" s="38"/>
      <c r="L7" s="38"/>
      <c r="M7" s="38"/>
    </row>
    <row r="8" customFormat="false" ht="60" hidden="false" customHeight="true" outlineLevel="0" collapsed="false">
      <c r="A8" s="34" t="n">
        <v>39</v>
      </c>
      <c r="B8" s="34" t="s">
        <v>295</v>
      </c>
      <c r="C8" s="34" t="n">
        <v>2026</v>
      </c>
      <c r="D8" s="34" t="s">
        <v>296</v>
      </c>
      <c r="E8" s="34" t="s">
        <v>298</v>
      </c>
      <c r="F8" s="38"/>
      <c r="G8" s="38"/>
      <c r="H8" s="38"/>
      <c r="I8" s="38"/>
      <c r="J8" s="38"/>
      <c r="K8" s="38"/>
      <c r="L8" s="38"/>
      <c r="M8" s="38"/>
    </row>
    <row r="9" customFormat="false" ht="60" hidden="false" customHeight="true" outlineLevel="0" collapsed="false">
      <c r="A9" s="34" t="n">
        <v>42</v>
      </c>
      <c r="B9" s="34" t="s">
        <v>309</v>
      </c>
      <c r="C9" s="34" t="n">
        <v>2026</v>
      </c>
      <c r="D9" s="34" t="s">
        <v>310</v>
      </c>
      <c r="E9" s="34" t="s">
        <v>311</v>
      </c>
      <c r="F9" s="38"/>
      <c r="G9" s="38"/>
      <c r="H9" s="38"/>
      <c r="I9" s="38"/>
      <c r="J9" s="38"/>
      <c r="K9" s="38"/>
      <c r="L9" s="38"/>
      <c r="M9" s="38"/>
    </row>
    <row r="10" customFormat="false" ht="60" hidden="false" customHeight="true" outlineLevel="0" collapsed="false">
      <c r="A10" s="34" t="n">
        <v>13</v>
      </c>
      <c r="B10" s="34" t="s">
        <v>166</v>
      </c>
      <c r="C10" s="34" t="n">
        <v>2025</v>
      </c>
      <c r="D10" s="34" t="s">
        <v>167</v>
      </c>
      <c r="E10" s="34" t="s">
        <v>169</v>
      </c>
      <c r="F10" s="38"/>
      <c r="G10" s="38"/>
      <c r="H10" s="38"/>
      <c r="I10" s="38"/>
      <c r="J10" s="38"/>
      <c r="K10" s="38"/>
      <c r="L10" s="38"/>
      <c r="M10" s="38"/>
    </row>
    <row r="11" customFormat="false" ht="60" hidden="false" customHeight="true" outlineLevel="0" collapsed="false">
      <c r="A11" s="34" t="n">
        <v>40</v>
      </c>
      <c r="B11" s="34" t="s">
        <v>300</v>
      </c>
      <c r="C11" s="34" t="n">
        <v>2025</v>
      </c>
      <c r="D11" s="34" t="s">
        <v>301</v>
      </c>
      <c r="E11" s="34" t="s">
        <v>302</v>
      </c>
      <c r="F11" s="38"/>
      <c r="G11" s="38"/>
      <c r="H11" s="38"/>
      <c r="I11" s="38"/>
      <c r="J11" s="38"/>
      <c r="K11" s="38"/>
      <c r="L11" s="38"/>
      <c r="M11" s="38"/>
    </row>
    <row r="12" customFormat="false" ht="60" hidden="false" customHeight="true" outlineLevel="0" collapsed="false">
      <c r="A12" s="34" t="n">
        <v>4</v>
      </c>
      <c r="B12" s="34" t="s">
        <v>118</v>
      </c>
      <c r="C12" s="34" t="n">
        <v>2026</v>
      </c>
      <c r="D12" s="34" t="s">
        <v>119</v>
      </c>
      <c r="E12" s="34" t="s">
        <v>121</v>
      </c>
      <c r="F12" s="38"/>
      <c r="G12" s="38"/>
      <c r="H12" s="38"/>
      <c r="I12" s="38"/>
      <c r="J12" s="38"/>
      <c r="K12" s="38"/>
      <c r="L12" s="38"/>
      <c r="M12" s="38"/>
    </row>
    <row r="13" customFormat="false" ht="60" hidden="false" customHeight="true" outlineLevel="0" collapsed="false">
      <c r="A13" s="34" t="n">
        <v>19</v>
      </c>
      <c r="B13" s="34" t="s">
        <v>196</v>
      </c>
      <c r="C13" s="34" t="n">
        <v>2024</v>
      </c>
      <c r="D13" s="34" t="s">
        <v>197</v>
      </c>
      <c r="E13" s="34" t="s">
        <v>199</v>
      </c>
      <c r="F13" s="38"/>
      <c r="G13" s="38"/>
      <c r="H13" s="38"/>
      <c r="I13" s="38"/>
      <c r="J13" s="38"/>
      <c r="K13" s="38"/>
      <c r="L13" s="38"/>
      <c r="M13" s="38"/>
    </row>
    <row r="14" customFormat="false" ht="60" hidden="false" customHeight="true" outlineLevel="0" collapsed="false">
      <c r="A14" s="34" t="n">
        <v>2</v>
      </c>
      <c r="B14" s="34" t="s">
        <v>107</v>
      </c>
      <c r="C14" s="34" t="n">
        <v>2025</v>
      </c>
      <c r="D14" s="34" t="s">
        <v>108</v>
      </c>
      <c r="E14" s="34" t="s">
        <v>110</v>
      </c>
      <c r="F14" s="38"/>
      <c r="G14" s="38"/>
      <c r="H14" s="38"/>
      <c r="I14" s="38"/>
      <c r="J14" s="38"/>
      <c r="K14" s="38"/>
      <c r="L14" s="38"/>
      <c r="M14" s="38"/>
    </row>
    <row r="16" customFormat="false" ht="45" hidden="false" customHeight="true" outlineLevel="0" collapsed="false">
      <c r="A16" s="37" t="s">
        <v>461</v>
      </c>
      <c r="B16" s="37"/>
      <c r="C16" s="37"/>
      <c r="D16" s="37"/>
      <c r="E16" s="37"/>
      <c r="F16" s="37"/>
      <c r="G16" s="37"/>
      <c r="H16" s="37"/>
      <c r="I16" s="37"/>
      <c r="J16" s="37"/>
      <c r="K16" s="37"/>
      <c r="L16" s="37"/>
      <c r="M16" s="37"/>
    </row>
  </sheetData>
  <mergeCells count="1">
    <mergeCell ref="A16:M16"/>
  </mergeCells>
  <dataValidations count="1">
    <dataValidation allowBlank="true" errorStyle="stop" operator="between" showDropDown="false" showErrorMessage="false" showInputMessage="false" sqref="F2:F1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3"/>
    <col collapsed="false" customWidth="true" hidden="false" outlineLevel="0" max="3" min="3" style="1" width="27"/>
    <col collapsed="false" customWidth="true" hidden="false" outlineLevel="0" max="4" min="4" style="1" width="58"/>
    <col collapsed="false" customWidth="true" hidden="false" outlineLevel="0" max="5" min="5" style="1" width="83"/>
    <col collapsed="false" customWidth="true" hidden="false" outlineLevel="0" max="6" min="6" style="1" width="65"/>
  </cols>
  <sheetData>
    <row r="1" customFormat="false" ht="31.5" hidden="false" customHeight="true" outlineLevel="0" collapsed="false">
      <c r="A1" s="39" t="s">
        <v>78</v>
      </c>
      <c r="B1" s="39" t="s">
        <v>462</v>
      </c>
      <c r="C1" s="39" t="s">
        <v>454</v>
      </c>
      <c r="D1" s="39" t="s">
        <v>463</v>
      </c>
      <c r="E1" s="39" t="s">
        <v>464</v>
      </c>
      <c r="F1" s="39" t="s">
        <v>465</v>
      </c>
    </row>
    <row r="2" customFormat="false" ht="99.75" hidden="false" customHeight="true" outlineLevel="0" collapsed="false">
      <c r="A2" s="40" t="n">
        <v>37</v>
      </c>
      <c r="B2" s="40" t="s">
        <v>466</v>
      </c>
      <c r="C2" s="40" t="s">
        <v>104</v>
      </c>
      <c r="D2" s="40" t="s">
        <v>467</v>
      </c>
      <c r="E2" s="40" t="s">
        <v>468</v>
      </c>
      <c r="F2" s="40" t="s">
        <v>469</v>
      </c>
    </row>
    <row r="3" customFormat="false" ht="99.75" hidden="false" customHeight="true" outlineLevel="0" collapsed="false">
      <c r="A3" s="40" t="n">
        <v>33</v>
      </c>
      <c r="B3" s="40" t="s">
        <v>470</v>
      </c>
      <c r="C3" s="40" t="s">
        <v>471</v>
      </c>
      <c r="D3" s="40" t="s">
        <v>472</v>
      </c>
      <c r="E3" s="40" t="s">
        <v>473</v>
      </c>
      <c r="F3" s="40" t="s">
        <v>474</v>
      </c>
    </row>
    <row r="4" customFormat="false" ht="99.75" hidden="false" customHeight="true" outlineLevel="0" collapsed="false">
      <c r="A4" s="40" t="n">
        <v>43</v>
      </c>
      <c r="B4" s="40" t="s">
        <v>475</v>
      </c>
      <c r="C4" s="40" t="s">
        <v>476</v>
      </c>
      <c r="D4" s="40" t="s">
        <v>477</v>
      </c>
      <c r="E4" s="40" t="s">
        <v>478</v>
      </c>
      <c r="F4" s="40" t="s">
        <v>479</v>
      </c>
    </row>
    <row r="5" customFormat="false" ht="99.75" hidden="false" customHeight="true" outlineLevel="0" collapsed="false">
      <c r="A5" s="40" t="n">
        <v>15</v>
      </c>
      <c r="B5" s="40" t="s">
        <v>480</v>
      </c>
      <c r="C5" s="40" t="s">
        <v>481</v>
      </c>
      <c r="D5" s="40" t="s">
        <v>482</v>
      </c>
      <c r="E5" s="40" t="s">
        <v>483</v>
      </c>
      <c r="F5" s="40" t="s">
        <v>484</v>
      </c>
    </row>
    <row r="6" customFormat="false" ht="99.75" hidden="false" customHeight="true" outlineLevel="0" collapsed="false">
      <c r="A6" s="40" t="n">
        <v>13</v>
      </c>
      <c r="B6" s="40" t="s">
        <v>485</v>
      </c>
      <c r="C6" s="40" t="s">
        <v>481</v>
      </c>
      <c r="D6" s="40" t="s">
        <v>486</v>
      </c>
      <c r="E6" s="40" t="s">
        <v>487</v>
      </c>
      <c r="F6" s="40" t="s">
        <v>488</v>
      </c>
    </row>
    <row r="7" customFormat="false" ht="99.75" hidden="false" customHeight="true" outlineLevel="0" collapsed="false">
      <c r="A7" s="40" t="n">
        <v>30</v>
      </c>
      <c r="B7" s="40" t="s">
        <v>489</v>
      </c>
      <c r="C7" s="40" t="s">
        <v>104</v>
      </c>
      <c r="D7" s="40" t="s">
        <v>490</v>
      </c>
      <c r="E7" s="40" t="s">
        <v>491</v>
      </c>
      <c r="F7" s="40" t="s">
        <v>492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9"/>
    <col collapsed="false" customWidth="true" hidden="false" outlineLevel="0" max="2" min="2" style="1" width="58"/>
    <col collapsed="false" customWidth="true" hidden="false" outlineLevel="0" max="3" min="3" style="1" width="63"/>
    <col collapsed="false" customWidth="true" hidden="false" outlineLevel="0" max="4" min="4" style="1" width="64"/>
    <col collapsed="false" customWidth="true" hidden="false" outlineLevel="0" max="5" min="5" style="1" width="56"/>
  </cols>
  <sheetData>
    <row r="1" customFormat="false" ht="31.5" hidden="false" customHeight="true" outlineLevel="0" collapsed="false">
      <c r="A1" s="39" t="s">
        <v>493</v>
      </c>
      <c r="B1" s="39" t="s">
        <v>494</v>
      </c>
      <c r="C1" s="39" t="s">
        <v>495</v>
      </c>
      <c r="D1" s="39" t="s">
        <v>496</v>
      </c>
      <c r="E1" s="39" t="s">
        <v>497</v>
      </c>
    </row>
    <row r="2" customFormat="false" ht="99.75" hidden="false" customHeight="true" outlineLevel="0" collapsed="false">
      <c r="A2" s="40" t="s">
        <v>498</v>
      </c>
      <c r="B2" s="40" t="s">
        <v>499</v>
      </c>
      <c r="C2" s="40" t="s">
        <v>500</v>
      </c>
      <c r="D2" s="40" t="s">
        <v>501</v>
      </c>
      <c r="E2" s="40" t="s">
        <v>502</v>
      </c>
    </row>
    <row r="3" customFormat="false" ht="99.75" hidden="false" customHeight="true" outlineLevel="0" collapsed="false">
      <c r="A3" s="40" t="s">
        <v>503</v>
      </c>
      <c r="B3" s="40" t="s">
        <v>504</v>
      </c>
      <c r="C3" s="40" t="s">
        <v>505</v>
      </c>
      <c r="D3" s="40" t="s">
        <v>506</v>
      </c>
      <c r="E3" s="40" t="s">
        <v>507</v>
      </c>
    </row>
    <row r="4" customFormat="false" ht="99.75" hidden="false" customHeight="true" outlineLevel="0" collapsed="false">
      <c r="A4" s="40" t="s">
        <v>498</v>
      </c>
      <c r="B4" s="40" t="s">
        <v>508</v>
      </c>
      <c r="C4" s="40" t="s">
        <v>509</v>
      </c>
      <c r="D4" s="40" t="s">
        <v>510</v>
      </c>
      <c r="E4" s="40" t="s">
        <v>511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2026-10-24T21:17:03Z</dcterms:created>
  <dc:creator>openpyxl</dc:creator>
  <dc:description/>
  <dc:language>en-US</dc:language>
  <cp:lastModifiedBy/>
  <dcterms:modified xsi:type="dcterms:W3CDTF">2026-10-24T23:31:05Z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